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N\trans\BCDTRtSY\"/>
    </mc:Choice>
  </mc:AlternateContent>
  <xr:revisionPtr revIDLastSave="0" documentId="8_{5F3A2511-1FBC-4DAE-84DF-D23DE142CD16}"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<sst xmlns="http://schemas.openxmlformats.org/spreadsheetml/2006/main" count="6428" uniqueCount="3038">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</sst>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2908</v>
      </c>
      <c r="C1" s="77">
        <v>46248</v>
      </c>
      <c r="H1" t="s">
        <v>2981</v>
      </c>
      <c r="I1" t="s">
        <v>2982</v>
      </c>
    </row>
    <row r="2" spans="1:9">
      <c r="B2" t="str">
        <f>VLOOKUP(B1,H2:I52,2)</f>
        <v>MN</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Minnesota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1.0092297818067528</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1.0199153521196576</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1.0275207298897449</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1.0347228328285052</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1.0411793708063968</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1.0449791025194934</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1.0489488429959941</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1.0514999892278263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1.0546625739800066</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1.0569611789537314</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1.0599727241695138</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1.06342836141918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1.0669433594703257</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1.069842619066274</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1.0729490051843509</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1.0749407729012153</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1.0768056730461686</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1.0783222000592489</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1.0800715857075136</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1.081593231439667</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1.0828372882408115</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1.0832659281584516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1.0838227333497075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1.0841360900704147</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1.0848574795990993</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1.0210749904200511</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1.0364095892192584</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1.0483017314544605</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1.0589987462458197</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1.0682933308059226</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1.0738194178026588</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1.07892651931719</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1.0845331627748356</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1.0896727987621122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1.0951505866134013</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1.0998417886682021</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1.1046733400059885</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1.109001773357376</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1.1133142509497249</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1.1175787180758787</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1.1208084255423358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1.1239939120946554</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1.1268416215309831</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1.1295697123169852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1.1321854427988256</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1.1344077898582254</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1.1365154284363388</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1.1382342178704881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1.1397724719089091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1.1412374493336761</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1.0345341696821091</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1.0565832643728608</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1.0678502795884379</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1.0840334593873242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1.1044805732135834</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1.1218320807449667</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1.143675464496124</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1.1675012144119989</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1.1937883665690721</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1.2227465664283643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1.2446822984092525</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1.2667510330108513</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1.2886221430379847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1.3095338742070071</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1.3309606878323945</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1.3507152523802799</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1.3716314014167585</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1.3939618788230979</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1.4162570294812371</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1.4387376966955181</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1.4602184409211176</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1.4797120507035906</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1.4994353522732429</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1.5180995368044827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1.5373133787318862</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1.0669947398087685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1.1179009897334897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1.1574600187434074</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1.1923572978666983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1.222735801645763</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1.2464003923390401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1.2678926190423669</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1.2903146623794444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1.3076433958087186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1.3249793556936544</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1.3385585615432456</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1.3530559447800641</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1.3662563677268174</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1.3767157674879935</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1.3875621893602952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1.3965566995048206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1.4055954547646152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1.4130509786585714</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1.4213584657020955</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1.430358159671139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1.437690024674402</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1.4457840225322571</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1.4515019021535376</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1.4567996494247872</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1.4617881221050884</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1.0050370490791105</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1.0029406622976356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0.99477727310901332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0.98899399606287308</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0.98546096148208207</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0.97944340210743086</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0.97577466737538354</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0.97330454344679718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0.97208250775357896</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0.97217051039590696</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0.96922335504445822</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0.96630042059520382</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0.96319584887766441</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0.96000476976375171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0.95689413980661597</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0.95278896570081817</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0.94910705750985025</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0.94571727281328921</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0.9423180260867362</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0.93887573162607896</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0.93494208089828901</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0.93033015399711028</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0.92556127598840487</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0.92039383449754386</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0.91549405499518766</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1.0089934175384763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1.0202139567636326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1.0285025255975524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1.0365951486201983</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1.0436537140100473</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1.0487267310265012</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1.0538590325728288</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1.0574357207673142</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1.0613805667514165</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1.0644017523610412</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1.0682492524779659</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1.0725632690764004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1.076853623524537</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1.0804059929100764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1.0841989291587633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1.0871693307377852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1.0898686921425504</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1.0923311662098676</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1.0951458613014478</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1.0978277974260515</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1.1000318159822096</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1.1014756278321323</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1.1028662053834979</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1.1040945737584997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1.1057411261393399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0.99916085056916148</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1.0037732099664491</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1.0080022311744614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1.0134041022549716</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1.0236655026948203</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1.0304703327811064</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1.0391375773248486</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1.0465118272272376</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1.0559015303089516</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1.0660605148739688</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1.0766147402761257</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1.0885248556251308</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1.1017694838239434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1.1154558651142701</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1.1297414581445135</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1.1427982743463734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1.1552672135018922</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1.1650902456463055</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1.1746702376251321</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1.1857287343423022</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1.1973300243557259</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1.2097075578204648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1.2207796749562576</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1.232729794305516</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1.2439205058785165</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1.0138502068346105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1.0320149172903299</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1.0493831685278985</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1.0641914481616723</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1.0814683369324061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1.0921000099150737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1.1037034093728313</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1.1131031352977194</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1.1238265390774971</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1.134447988118114</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1.144277686031427</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1.1534168331357899</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1.1615343665185114</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1.1690828724405387</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1.1768388940019827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1.1840803860472393</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1.1907874484456302</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1.1964441089997628</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1.2024493741225641</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1.2104530712549271</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1.218705585471767</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1.2268839400065559</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1.2328269230270787</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1.2387045886777104</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1.2439948264713052</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1.0299694964884321</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1.0522745520297794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1.0681566426892046</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1.0878452536753567</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1.110647813003999</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1.1309003953776027</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1.1544009360756948</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1.1794855823273043</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1.2064788264989925</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1.2355112677516682</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1.2600182181608508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1.284806865841309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1.3096456848522007</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1.3340009564224489</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1.3588984753529301</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1.382696365469906</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1.4074534082709953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1.4333523119353615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1.4593985633784001</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1.4857425540708493</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1.5115653076862117</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1.5361695206738422</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1.5611097520695429</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1.5854854672752712</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1.6104459595900953</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0.98025864957743891</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1.0149130380625011</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0.9970647802292093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0.99211622616602968</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1.0016437616661031</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0.9768443021485429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0.98183508731388758</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0.98698485171004935</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0.98507418543994851</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0.98918364505207046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0.99241978596843827</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0.9970707812094699</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0.99836857293376247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1.0012745376777648</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1.0031619676947288</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1.0029189857608301</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1.0004861064120372</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0.99870482969442886</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0.99947367468516035</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0.9996258254950583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1.0023845620690843</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1.0089612114220998</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1.0128320969933331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1.0106197327994537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1.0090949336558421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0.99517545780922978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1.0174449751921832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1.0418521724809711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1.0629556954255897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1.085081662031927</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1.1036245141025389</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1.1242914258293655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1.1452986570476136</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1.1670828464477221</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1.1899427235885498</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1.2087301236931269</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1.2241142435248884</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1.2395143334593763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1.2537206130518672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1.2680332582856482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1.2816772474913933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1.2964452822871113</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1.3107998218049</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1.3250219062500774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1.3406723420034541</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1.3565103809038817</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1.3725731822910432</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1.3878580167945085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1.4028447458879265</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1.4193601078400147</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1.0092297818067528</v>
      </c>
      <c r="E2">
        <f>'BCDTRtSY-state-adjusted'!E5</f>
        <v>1.0199153521196576</v>
      </c>
      <c r="F2">
        <f>'BCDTRtSY-state-adjusted'!F5</f>
        <v>1.0275207298897449</v>
      </c>
      <c r="G2">
        <f>'BCDTRtSY-state-adjusted'!G5</f>
        <v>1.0347228328285052</v>
      </c>
      <c r="H2">
        <f>'BCDTRtSY-state-adjusted'!H5</f>
        <v>1.0411793708063968</v>
      </c>
      <c r="I2">
        <f>'BCDTRtSY-state-adjusted'!I5</f>
        <v>1.0449791025194934</v>
      </c>
      <c r="J2">
        <f>'BCDTRtSY-state-adjusted'!J5</f>
        <v>1.0489488429959941</v>
      </c>
      <c r="K2">
        <f>'BCDTRtSY-state-adjusted'!K5</f>
        <v>1.0514999892278263</v>
      </c>
      <c r="L2">
        <f>'BCDTRtSY-state-adjusted'!L5</f>
        <v>1.0546625739800066</v>
      </c>
      <c r="M2">
        <f>'BCDTRtSY-state-adjusted'!M5</f>
        <v>1.0569611789537314</v>
      </c>
      <c r="N2">
        <f>'BCDTRtSY-state-adjusted'!N5</f>
        <v>1.0599727241695138</v>
      </c>
      <c r="O2">
        <f>'BCDTRtSY-state-adjusted'!O5</f>
        <v>1.06342836141918</v>
      </c>
      <c r="P2">
        <f>'BCDTRtSY-state-adjusted'!P5</f>
        <v>1.0669433594703257</v>
      </c>
      <c r="Q2">
        <f>'BCDTRtSY-state-adjusted'!Q5</f>
        <v>1.069842619066274</v>
      </c>
      <c r="R2">
        <f>'BCDTRtSY-state-adjusted'!R5</f>
        <v>1.0729490051843509</v>
      </c>
      <c r="S2">
        <f>'BCDTRtSY-state-adjusted'!S5</f>
        <v>1.0749407729012153</v>
      </c>
      <c r="T2">
        <f>'BCDTRtSY-state-adjusted'!T5</f>
        <v>1.0768056730461686</v>
      </c>
      <c r="U2">
        <f>'BCDTRtSY-state-adjusted'!U5</f>
        <v>1.0783222000592489</v>
      </c>
      <c r="V2">
        <f>'BCDTRtSY-state-adjusted'!V5</f>
        <v>1.0800715857075136</v>
      </c>
      <c r="W2">
        <f>'BCDTRtSY-state-adjusted'!W5</f>
        <v>1.081593231439667</v>
      </c>
      <c r="X2">
        <f>'BCDTRtSY-state-adjusted'!X5</f>
        <v>1.0828372882408115</v>
      </c>
      <c r="Y2">
        <f>'BCDTRtSY-state-adjusted'!Y5</f>
        <v>1.0832659281584516</v>
      </c>
      <c r="Z2">
        <f>'BCDTRtSY-state-adjusted'!Z5</f>
        <v>1.0838227333497075</v>
      </c>
      <c r="AA2">
        <f>'BCDTRtSY-state-adjusted'!AA5</f>
        <v>1.0841360900704147</v>
      </c>
      <c r="AB2">
        <f>'BCDTRtSY-state-adjusted'!AB5</f>
        <v>1.0848574795990993</v>
      </c>
    </row>
    <row r="3" spans="1:28">
      <c r="A3" t="s">
        <v>118</v>
      </c>
      <c r="B3">
        <f>'BCDTRtSY-state-adjusted'!B6</f>
        <v>1</v>
      </c>
      <c r="C3">
        <f>'BCDTRtSY-state-adjusted'!C6</f>
        <v>1</v>
      </c>
      <c r="D3">
        <f>'BCDTRtSY-state-adjusted'!D6</f>
        <v>1.0210749904200511</v>
      </c>
      <c r="E3">
        <f>'BCDTRtSY-state-adjusted'!E6</f>
        <v>1.0364095892192584</v>
      </c>
      <c r="F3">
        <f>'BCDTRtSY-state-adjusted'!F6</f>
        <v>1.0483017314544605</v>
      </c>
      <c r="G3">
        <f>'BCDTRtSY-state-adjusted'!G6</f>
        <v>1.0589987462458197</v>
      </c>
      <c r="H3">
        <f>'BCDTRtSY-state-adjusted'!H6</f>
        <v>1.0682933308059226</v>
      </c>
      <c r="I3">
        <f>'BCDTRtSY-state-adjusted'!I6</f>
        <v>1.0738194178026588</v>
      </c>
      <c r="J3">
        <f>'BCDTRtSY-state-adjusted'!J6</f>
        <v>1.07892651931719</v>
      </c>
      <c r="K3">
        <f>'BCDTRtSY-state-adjusted'!K6</f>
        <v>1.0845331627748356</v>
      </c>
      <c r="L3">
        <f>'BCDTRtSY-state-adjusted'!L6</f>
        <v>1.0896727987621122</v>
      </c>
      <c r="M3">
        <f>'BCDTRtSY-state-adjusted'!M6</f>
        <v>1.0951505866134013</v>
      </c>
      <c r="N3">
        <f>'BCDTRtSY-state-adjusted'!N6</f>
        <v>1.0998417886682021</v>
      </c>
      <c r="O3">
        <f>'BCDTRtSY-state-adjusted'!O6</f>
        <v>1.1046733400059885</v>
      </c>
      <c r="P3">
        <f>'BCDTRtSY-state-adjusted'!P6</f>
        <v>1.109001773357376</v>
      </c>
      <c r="Q3">
        <f>'BCDTRtSY-state-adjusted'!Q6</f>
        <v>1.1133142509497249</v>
      </c>
      <c r="R3">
        <f>'BCDTRtSY-state-adjusted'!R6</f>
        <v>1.1175787180758787</v>
      </c>
      <c r="S3">
        <f>'BCDTRtSY-state-adjusted'!S6</f>
        <v>1.1208084255423358</v>
      </c>
      <c r="T3">
        <f>'BCDTRtSY-state-adjusted'!T6</f>
        <v>1.1239939120946554</v>
      </c>
      <c r="U3">
        <f>'BCDTRtSY-state-adjusted'!U6</f>
        <v>1.1268416215309831</v>
      </c>
      <c r="V3">
        <f>'BCDTRtSY-state-adjusted'!V6</f>
        <v>1.1295697123169852</v>
      </c>
      <c r="W3">
        <f>'BCDTRtSY-state-adjusted'!W6</f>
        <v>1.1321854427988256</v>
      </c>
      <c r="X3">
        <f>'BCDTRtSY-state-adjusted'!X6</f>
        <v>1.1344077898582254</v>
      </c>
      <c r="Y3">
        <f>'BCDTRtSY-state-adjusted'!Y6</f>
        <v>1.1365154284363388</v>
      </c>
      <c r="Z3">
        <f>'BCDTRtSY-state-adjusted'!Z6</f>
        <v>1.1382342178704881</v>
      </c>
      <c r="AA3">
        <f>'BCDTRtSY-state-adjusted'!AA6</f>
        <v>1.1397724719089091</v>
      </c>
      <c r="AB3">
        <f>'BCDTRtSY-state-adjusted'!AB6</f>
        <v>1.1412374493336761</v>
      </c>
    </row>
    <row r="4" spans="1:28">
      <c r="A4" t="s">
        <v>116</v>
      </c>
      <c r="B4">
        <f>'BCDTRtSY-state-adjusted'!B7</f>
        <v>1</v>
      </c>
      <c r="C4">
        <f>'BCDTRtSY-state-adjusted'!C7</f>
        <v>1</v>
      </c>
      <c r="D4">
        <f>'BCDTRtSY-state-adjusted'!D7</f>
        <v>1.0345341696821091</v>
      </c>
      <c r="E4">
        <f>'BCDTRtSY-state-adjusted'!E7</f>
        <v>1.0565832643728608</v>
      </c>
      <c r="F4">
        <f>'BCDTRtSY-state-adjusted'!F7</f>
        <v>1.0678502795884379</v>
      </c>
      <c r="G4">
        <f>'BCDTRtSY-state-adjusted'!G7</f>
        <v>1.0840334593873242</v>
      </c>
      <c r="H4">
        <f>'BCDTRtSY-state-adjusted'!H7</f>
        <v>1.1044805732135834</v>
      </c>
      <c r="I4">
        <f>'BCDTRtSY-state-adjusted'!I7</f>
        <v>1.1218320807449667</v>
      </c>
      <c r="J4">
        <f>'BCDTRtSY-state-adjusted'!J7</f>
        <v>1.143675464496124</v>
      </c>
      <c r="K4">
        <f>'BCDTRtSY-state-adjusted'!K7</f>
        <v>1.1675012144119989</v>
      </c>
      <c r="L4">
        <f>'BCDTRtSY-state-adjusted'!L7</f>
        <v>1.1937883665690721</v>
      </c>
      <c r="M4">
        <f>'BCDTRtSY-state-adjusted'!M7</f>
        <v>1.2227465664283643</v>
      </c>
      <c r="N4">
        <f>'BCDTRtSY-state-adjusted'!N7</f>
        <v>1.2446822984092525</v>
      </c>
      <c r="O4">
        <f>'BCDTRtSY-state-adjusted'!O7</f>
        <v>1.2667510330108513</v>
      </c>
      <c r="P4">
        <f>'BCDTRtSY-state-adjusted'!P7</f>
        <v>1.2886221430379847</v>
      </c>
      <c r="Q4">
        <f>'BCDTRtSY-state-adjusted'!Q7</f>
        <v>1.3095338742070071</v>
      </c>
      <c r="R4">
        <f>'BCDTRtSY-state-adjusted'!R7</f>
        <v>1.3309606878323945</v>
      </c>
      <c r="S4">
        <f>'BCDTRtSY-state-adjusted'!S7</f>
        <v>1.3507152523802799</v>
      </c>
      <c r="T4">
        <f>'BCDTRtSY-state-adjusted'!T7</f>
        <v>1.3716314014167585</v>
      </c>
      <c r="U4">
        <f>'BCDTRtSY-state-adjusted'!U7</f>
        <v>1.3939618788230979</v>
      </c>
      <c r="V4">
        <f>'BCDTRtSY-state-adjusted'!V7</f>
        <v>1.4162570294812371</v>
      </c>
      <c r="W4">
        <f>'BCDTRtSY-state-adjusted'!W7</f>
        <v>1.4387376966955181</v>
      </c>
      <c r="X4">
        <f>'BCDTRtSY-state-adjusted'!X7</f>
        <v>1.4602184409211176</v>
      </c>
      <c r="Y4">
        <f>'BCDTRtSY-state-adjusted'!Y7</f>
        <v>1.4797120507035906</v>
      </c>
      <c r="Z4">
        <f>'BCDTRtSY-state-adjusted'!Z7</f>
        <v>1.4994353522732429</v>
      </c>
      <c r="AA4">
        <f>'BCDTRtSY-state-adjusted'!AA7</f>
        <v>1.5180995368044827</v>
      </c>
      <c r="AB4">
        <f>'BCDTRtSY-state-adjusted'!AB7</f>
        <v>1.5373133787318862</v>
      </c>
    </row>
    <row r="5" spans="1:28">
      <c r="A5" t="s">
        <v>121</v>
      </c>
      <c r="B5">
        <f>'BCDTRtSY-state-adjusted'!B8</f>
        <v>1</v>
      </c>
      <c r="C5">
        <f>'BCDTRtSY-state-adjusted'!C8</f>
        <v>1</v>
      </c>
      <c r="D5">
        <f>'BCDTRtSY-state-adjusted'!D8</f>
        <v>1.0669947398087685</v>
      </c>
      <c r="E5">
        <f>'BCDTRtSY-state-adjusted'!E8</f>
        <v>1.1179009897334897</v>
      </c>
      <c r="F5">
        <f>'BCDTRtSY-state-adjusted'!F8</f>
        <v>1.1574600187434074</v>
      </c>
      <c r="G5">
        <f>'BCDTRtSY-state-adjusted'!G8</f>
        <v>1.1923572978666983</v>
      </c>
      <c r="H5">
        <f>'BCDTRtSY-state-adjusted'!H8</f>
        <v>1.222735801645763</v>
      </c>
      <c r="I5">
        <f>'BCDTRtSY-state-adjusted'!I8</f>
        <v>1.2464003923390401</v>
      </c>
      <c r="J5">
        <f>'BCDTRtSY-state-adjusted'!J8</f>
        <v>1.2678926190423669</v>
      </c>
      <c r="K5">
        <f>'BCDTRtSY-state-adjusted'!K8</f>
        <v>1.2903146623794444</v>
      </c>
      <c r="L5">
        <f>'BCDTRtSY-state-adjusted'!L8</f>
        <v>1.3076433958087186</v>
      </c>
      <c r="M5">
        <f>'BCDTRtSY-state-adjusted'!M8</f>
        <v>1.3249793556936544</v>
      </c>
      <c r="N5">
        <f>'BCDTRtSY-state-adjusted'!N8</f>
        <v>1.3385585615432456</v>
      </c>
      <c r="O5">
        <f>'BCDTRtSY-state-adjusted'!O8</f>
        <v>1.3530559447800641</v>
      </c>
      <c r="P5">
        <f>'BCDTRtSY-state-adjusted'!P8</f>
        <v>1.3662563677268174</v>
      </c>
      <c r="Q5">
        <f>'BCDTRtSY-state-adjusted'!Q8</f>
        <v>1.3767157674879935</v>
      </c>
      <c r="R5">
        <f>'BCDTRtSY-state-adjusted'!R8</f>
        <v>1.3875621893602952</v>
      </c>
      <c r="S5">
        <f>'BCDTRtSY-state-adjusted'!S8</f>
        <v>1.3965566995048206</v>
      </c>
      <c r="T5">
        <f>'BCDTRtSY-state-adjusted'!T8</f>
        <v>1.4055954547646152</v>
      </c>
      <c r="U5">
        <f>'BCDTRtSY-state-adjusted'!U8</f>
        <v>1.4130509786585714</v>
      </c>
      <c r="V5">
        <f>'BCDTRtSY-state-adjusted'!V8</f>
        <v>1.4213584657020955</v>
      </c>
      <c r="W5">
        <f>'BCDTRtSY-state-adjusted'!W8</f>
        <v>1.430358159671139</v>
      </c>
      <c r="X5">
        <f>'BCDTRtSY-state-adjusted'!X8</f>
        <v>1.437690024674402</v>
      </c>
      <c r="Y5">
        <f>'BCDTRtSY-state-adjusted'!Y8</f>
        <v>1.4457840225322571</v>
      </c>
      <c r="Z5">
        <f>'BCDTRtSY-state-adjusted'!Z8</f>
        <v>1.4515019021535376</v>
      </c>
      <c r="AA5">
        <f>'BCDTRtSY-state-adjusted'!AA8</f>
        <v>1.4567996494247872</v>
      </c>
      <c r="AB5">
        <f>'BCDTRtSY-state-adjusted'!AB8</f>
        <v>1.4617881221050884</v>
      </c>
    </row>
    <row r="6" spans="1:28">
      <c r="A6" t="s">
        <v>122</v>
      </c>
      <c r="B6">
        <f>'BCDTRtSY-state-adjusted'!B9</f>
        <v>1</v>
      </c>
      <c r="C6">
        <f>'BCDTRtSY-state-adjusted'!C9</f>
        <v>1</v>
      </c>
      <c r="D6">
        <f>'BCDTRtSY-state-adjusted'!D9</f>
        <v>1.0050370490791105</v>
      </c>
      <c r="E6">
        <f>'BCDTRtSY-state-adjusted'!E9</f>
        <v>1.0029406622976356</v>
      </c>
      <c r="F6">
        <f>'BCDTRtSY-state-adjusted'!F9</f>
        <v>0.99477727310901332</v>
      </c>
      <c r="G6">
        <f>'BCDTRtSY-state-adjusted'!G9</f>
        <v>0.98899399606287308</v>
      </c>
      <c r="H6">
        <f>'BCDTRtSY-state-adjusted'!H9</f>
        <v>0.98546096148208207</v>
      </c>
      <c r="I6">
        <f>'BCDTRtSY-state-adjusted'!I9</f>
        <v>0.97944340210743086</v>
      </c>
      <c r="J6">
        <f>'BCDTRtSY-state-adjusted'!J9</f>
        <v>0.97577466737538354</v>
      </c>
      <c r="K6">
        <f>'BCDTRtSY-state-adjusted'!K9</f>
        <v>0.97330454344679718</v>
      </c>
      <c r="L6">
        <f>'BCDTRtSY-state-adjusted'!L9</f>
        <v>0.97208250775357896</v>
      </c>
      <c r="M6">
        <f>'BCDTRtSY-state-adjusted'!M9</f>
        <v>0.97217051039590696</v>
      </c>
      <c r="N6">
        <f>'BCDTRtSY-state-adjusted'!N9</f>
        <v>0.96922335504445822</v>
      </c>
      <c r="O6">
        <f>'BCDTRtSY-state-adjusted'!O9</f>
        <v>0.96630042059520382</v>
      </c>
      <c r="P6">
        <f>'BCDTRtSY-state-adjusted'!P9</f>
        <v>0.96319584887766441</v>
      </c>
      <c r="Q6">
        <f>'BCDTRtSY-state-adjusted'!Q9</f>
        <v>0.96000476976375171</v>
      </c>
      <c r="R6">
        <f>'BCDTRtSY-state-adjusted'!R9</f>
        <v>0.95689413980661597</v>
      </c>
      <c r="S6">
        <f>'BCDTRtSY-state-adjusted'!S9</f>
        <v>0.95278896570081817</v>
      </c>
      <c r="T6">
        <f>'BCDTRtSY-state-adjusted'!T9</f>
        <v>0.94910705750985025</v>
      </c>
      <c r="U6">
        <f>'BCDTRtSY-state-adjusted'!U9</f>
        <v>0.94571727281328921</v>
      </c>
      <c r="V6">
        <f>'BCDTRtSY-state-adjusted'!V9</f>
        <v>0.9423180260867362</v>
      </c>
      <c r="W6">
        <f>'BCDTRtSY-state-adjusted'!W9</f>
        <v>0.93887573162607896</v>
      </c>
      <c r="X6">
        <f>'BCDTRtSY-state-adjusted'!X9</f>
        <v>0.93494208089828901</v>
      </c>
      <c r="Y6">
        <f>'BCDTRtSY-state-adjusted'!Y9</f>
        <v>0.93033015399711028</v>
      </c>
      <c r="Z6">
        <f>'BCDTRtSY-state-adjusted'!Z9</f>
        <v>0.92556127598840487</v>
      </c>
      <c r="AA6">
        <f>'BCDTRtSY-state-adjusted'!AA9</f>
        <v>0.92039383449754386</v>
      </c>
      <c r="AB6">
        <f>'BCDTRtSY-state-adjusted'!AB9</f>
        <v>0.91549405499518766</v>
      </c>
    </row>
    <row r="7" spans="1:28">
      <c r="A7" t="s">
        <v>123</v>
      </c>
      <c r="B7">
        <f>'BCDTRtSY-state-adjusted'!B10</f>
        <v>1</v>
      </c>
      <c r="C7">
        <f>'BCDTRtSY-state-adjusted'!C10</f>
        <v>1</v>
      </c>
      <c r="D7">
        <f>'BCDTRtSY-state-adjusted'!D10</f>
        <v>1.0089934175384763</v>
      </c>
      <c r="E7">
        <f>'BCDTRtSY-state-adjusted'!E10</f>
        <v>1.0202139567636326</v>
      </c>
      <c r="F7">
        <f>'BCDTRtSY-state-adjusted'!F10</f>
        <v>1.0285025255975524</v>
      </c>
      <c r="G7">
        <f>'BCDTRtSY-state-adjusted'!G10</f>
        <v>1.0365951486201983</v>
      </c>
      <c r="H7">
        <f>'BCDTRtSY-state-adjusted'!H10</f>
        <v>1.0436537140100473</v>
      </c>
      <c r="I7">
        <f>'BCDTRtSY-state-adjusted'!I10</f>
        <v>1.0487267310265012</v>
      </c>
      <c r="J7">
        <f>'BCDTRtSY-state-adjusted'!J10</f>
        <v>1.0538590325728288</v>
      </c>
      <c r="K7">
        <f>'BCDTRtSY-state-adjusted'!K10</f>
        <v>1.0574357207673142</v>
      </c>
      <c r="L7">
        <f>'BCDTRtSY-state-adjusted'!L10</f>
        <v>1.0613805667514165</v>
      </c>
      <c r="M7">
        <f>'BCDTRtSY-state-adjusted'!M10</f>
        <v>1.0644017523610412</v>
      </c>
      <c r="N7">
        <f>'BCDTRtSY-state-adjusted'!N10</f>
        <v>1.0682492524779659</v>
      </c>
      <c r="O7">
        <f>'BCDTRtSY-state-adjusted'!O10</f>
        <v>1.0725632690764004</v>
      </c>
      <c r="P7">
        <f>'BCDTRtSY-state-adjusted'!P10</f>
        <v>1.076853623524537</v>
      </c>
      <c r="Q7">
        <f>'BCDTRtSY-state-adjusted'!Q10</f>
        <v>1.0804059929100764</v>
      </c>
      <c r="R7">
        <f>'BCDTRtSY-state-adjusted'!R10</f>
        <v>1.0841989291587633</v>
      </c>
      <c r="S7">
        <f>'BCDTRtSY-state-adjusted'!S10</f>
        <v>1.0871693307377852</v>
      </c>
      <c r="T7">
        <f>'BCDTRtSY-state-adjusted'!T10</f>
        <v>1.0898686921425504</v>
      </c>
      <c r="U7">
        <f>'BCDTRtSY-state-adjusted'!U10</f>
        <v>1.0923311662098676</v>
      </c>
      <c r="V7">
        <f>'BCDTRtSY-state-adjusted'!V10</f>
        <v>1.0951458613014478</v>
      </c>
      <c r="W7">
        <f>'BCDTRtSY-state-adjusted'!W10</f>
        <v>1.0978277974260515</v>
      </c>
      <c r="X7">
        <f>'BCDTRtSY-state-adjusted'!X10</f>
        <v>1.1000318159822096</v>
      </c>
      <c r="Y7">
        <f>'BCDTRtSY-state-adjusted'!Y10</f>
        <v>1.1014756278321323</v>
      </c>
      <c r="Z7">
        <f>'BCDTRtSY-state-adjusted'!Z10</f>
        <v>1.1028662053834979</v>
      </c>
      <c r="AA7">
        <f>'BCDTRtSY-state-adjusted'!AA10</f>
        <v>1.1040945737584997</v>
      </c>
      <c r="AB7">
        <f>'BCDTRtSY-state-adjusted'!AB10</f>
        <v>1.1057411261393399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0.99916085056916148</v>
      </c>
      <c r="E2">
        <f>'BCDTRtSY-state-adjusted'!E13</f>
        <v>1.0037732099664491</v>
      </c>
      <c r="F2">
        <f>'BCDTRtSY-state-adjusted'!F13</f>
        <v>1.0080022311744614</v>
      </c>
      <c r="G2">
        <f>'BCDTRtSY-state-adjusted'!G13</f>
        <v>1.0134041022549716</v>
      </c>
      <c r="H2">
        <f>'BCDTRtSY-state-adjusted'!H13</f>
        <v>1.0236655026948203</v>
      </c>
      <c r="I2">
        <f>'BCDTRtSY-state-adjusted'!I13</f>
        <v>1.0304703327811064</v>
      </c>
      <c r="J2">
        <f>'BCDTRtSY-state-adjusted'!J13</f>
        <v>1.0391375773248486</v>
      </c>
      <c r="K2">
        <f>'BCDTRtSY-state-adjusted'!K13</f>
        <v>1.0465118272272376</v>
      </c>
      <c r="L2">
        <f>'BCDTRtSY-state-adjusted'!L13</f>
        <v>1.0559015303089516</v>
      </c>
      <c r="M2">
        <f>'BCDTRtSY-state-adjusted'!M13</f>
        <v>1.0660605148739688</v>
      </c>
      <c r="N2">
        <f>'BCDTRtSY-state-adjusted'!N13</f>
        <v>1.0766147402761257</v>
      </c>
      <c r="O2">
        <f>'BCDTRtSY-state-adjusted'!O13</f>
        <v>1.0885248556251308</v>
      </c>
      <c r="P2">
        <f>'BCDTRtSY-state-adjusted'!P13</f>
        <v>1.1017694838239434</v>
      </c>
      <c r="Q2">
        <f>'BCDTRtSY-state-adjusted'!Q13</f>
        <v>1.1154558651142701</v>
      </c>
      <c r="R2">
        <f>'BCDTRtSY-state-adjusted'!R13</f>
        <v>1.1297414581445135</v>
      </c>
      <c r="S2">
        <f>'BCDTRtSY-state-adjusted'!S13</f>
        <v>1.1427982743463734</v>
      </c>
      <c r="T2">
        <f>'BCDTRtSY-state-adjusted'!T13</f>
        <v>1.1552672135018922</v>
      </c>
      <c r="U2">
        <f>'BCDTRtSY-state-adjusted'!U13</f>
        <v>1.1650902456463055</v>
      </c>
      <c r="V2">
        <f>'BCDTRtSY-state-adjusted'!V13</f>
        <v>1.1746702376251321</v>
      </c>
      <c r="W2">
        <f>'BCDTRtSY-state-adjusted'!W13</f>
        <v>1.1857287343423022</v>
      </c>
      <c r="X2">
        <f>'BCDTRtSY-state-adjusted'!X13</f>
        <v>1.1973300243557259</v>
      </c>
      <c r="Y2">
        <f>'BCDTRtSY-state-adjusted'!Y13</f>
        <v>1.2097075578204648</v>
      </c>
      <c r="Z2">
        <f>'BCDTRtSY-state-adjusted'!Z13</f>
        <v>1.2207796749562576</v>
      </c>
      <c r="AA2">
        <f>'BCDTRtSY-state-adjusted'!AA13</f>
        <v>1.232729794305516</v>
      </c>
      <c r="AB2">
        <f>'BCDTRtSY-state-adjusted'!AB13</f>
        <v>1.2439205058785165</v>
      </c>
    </row>
    <row r="3" spans="1:28">
      <c r="A3" t="s">
        <v>118</v>
      </c>
      <c r="B3">
        <f>'BCDTRtSY-state-adjusted'!B14</f>
        <v>1</v>
      </c>
      <c r="C3">
        <f>'BCDTRtSY-state-adjusted'!C14</f>
        <v>1</v>
      </c>
      <c r="D3">
        <f>'BCDTRtSY-state-adjusted'!D14</f>
        <v>1.0138502068346105</v>
      </c>
      <c r="E3">
        <f>'BCDTRtSY-state-adjusted'!E14</f>
        <v>1.0320149172903299</v>
      </c>
      <c r="F3">
        <f>'BCDTRtSY-state-adjusted'!F14</f>
        <v>1.0493831685278985</v>
      </c>
      <c r="G3">
        <f>'BCDTRtSY-state-adjusted'!G14</f>
        <v>1.0641914481616723</v>
      </c>
      <c r="H3">
        <f>'BCDTRtSY-state-adjusted'!H14</f>
        <v>1.0814683369324061</v>
      </c>
      <c r="I3">
        <f>'BCDTRtSY-state-adjusted'!I14</f>
        <v>1.0921000099150737</v>
      </c>
      <c r="J3">
        <f>'BCDTRtSY-state-adjusted'!J14</f>
        <v>1.1037034093728313</v>
      </c>
      <c r="K3">
        <f>'BCDTRtSY-state-adjusted'!K14</f>
        <v>1.1131031352977194</v>
      </c>
      <c r="L3">
        <f>'BCDTRtSY-state-adjusted'!L14</f>
        <v>1.1238265390774971</v>
      </c>
      <c r="M3">
        <f>'BCDTRtSY-state-adjusted'!M14</f>
        <v>1.134447988118114</v>
      </c>
      <c r="N3">
        <f>'BCDTRtSY-state-adjusted'!N14</f>
        <v>1.144277686031427</v>
      </c>
      <c r="O3">
        <f>'BCDTRtSY-state-adjusted'!O14</f>
        <v>1.1534168331357899</v>
      </c>
      <c r="P3">
        <f>'BCDTRtSY-state-adjusted'!P14</f>
        <v>1.1615343665185114</v>
      </c>
      <c r="Q3">
        <f>'BCDTRtSY-state-adjusted'!Q14</f>
        <v>1.1690828724405387</v>
      </c>
      <c r="R3">
        <f>'BCDTRtSY-state-adjusted'!R14</f>
        <v>1.1768388940019827</v>
      </c>
      <c r="S3">
        <f>'BCDTRtSY-state-adjusted'!S14</f>
        <v>1.1840803860472393</v>
      </c>
      <c r="T3">
        <f>'BCDTRtSY-state-adjusted'!T14</f>
        <v>1.1907874484456302</v>
      </c>
      <c r="U3">
        <f>'BCDTRtSY-state-adjusted'!U14</f>
        <v>1.1964441089997628</v>
      </c>
      <c r="V3">
        <f>'BCDTRtSY-state-adjusted'!V14</f>
        <v>1.2024493741225641</v>
      </c>
      <c r="W3">
        <f>'BCDTRtSY-state-adjusted'!W14</f>
        <v>1.2104530712549271</v>
      </c>
      <c r="X3">
        <f>'BCDTRtSY-state-adjusted'!X14</f>
        <v>1.218705585471767</v>
      </c>
      <c r="Y3">
        <f>'BCDTRtSY-state-adjusted'!Y14</f>
        <v>1.2268839400065559</v>
      </c>
      <c r="Z3">
        <f>'BCDTRtSY-state-adjusted'!Z14</f>
        <v>1.2328269230270787</v>
      </c>
      <c r="AA3">
        <f>'BCDTRtSY-state-adjusted'!AA14</f>
        <v>1.2387045886777104</v>
      </c>
      <c r="AB3">
        <f>'BCDTRtSY-state-adjusted'!AB14</f>
        <v>1.2439948264713052</v>
      </c>
    </row>
    <row r="4" spans="1:28">
      <c r="A4" t="s">
        <v>116</v>
      </c>
      <c r="B4">
        <f>'BCDTRtSY-state-adjusted'!B15</f>
        <v>1</v>
      </c>
      <c r="C4">
        <f>'BCDTRtSY-state-adjusted'!C15</f>
        <v>1</v>
      </c>
      <c r="D4">
        <f>'BCDTRtSY-state-adjusted'!D15</f>
        <v>1.0299694964884321</v>
      </c>
      <c r="E4">
        <f>'BCDTRtSY-state-adjusted'!E15</f>
        <v>1.0522745520297794</v>
      </c>
      <c r="F4">
        <f>'BCDTRtSY-state-adjusted'!F15</f>
        <v>1.0681566426892046</v>
      </c>
      <c r="G4">
        <f>'BCDTRtSY-state-adjusted'!G15</f>
        <v>1.0878452536753567</v>
      </c>
      <c r="H4">
        <f>'BCDTRtSY-state-adjusted'!H15</f>
        <v>1.110647813003999</v>
      </c>
      <c r="I4">
        <f>'BCDTRtSY-state-adjusted'!I15</f>
        <v>1.1309003953776027</v>
      </c>
      <c r="J4">
        <f>'BCDTRtSY-state-adjusted'!J15</f>
        <v>1.1544009360756948</v>
      </c>
      <c r="K4">
        <f>'BCDTRtSY-state-adjusted'!K15</f>
        <v>1.1794855823273043</v>
      </c>
      <c r="L4">
        <f>'BCDTRtSY-state-adjusted'!L15</f>
        <v>1.2064788264989925</v>
      </c>
      <c r="M4">
        <f>'BCDTRtSY-state-adjusted'!M15</f>
        <v>1.2355112677516682</v>
      </c>
      <c r="N4">
        <f>'BCDTRtSY-state-adjusted'!N15</f>
        <v>1.2600182181608508</v>
      </c>
      <c r="O4">
        <f>'BCDTRtSY-state-adjusted'!O15</f>
        <v>1.284806865841309</v>
      </c>
      <c r="P4">
        <f>'BCDTRtSY-state-adjusted'!P15</f>
        <v>1.3096456848522007</v>
      </c>
      <c r="Q4">
        <f>'BCDTRtSY-state-adjusted'!Q15</f>
        <v>1.3340009564224489</v>
      </c>
      <c r="R4">
        <f>'BCDTRtSY-state-adjusted'!R15</f>
        <v>1.3588984753529301</v>
      </c>
      <c r="S4">
        <f>'BCDTRtSY-state-adjusted'!S15</f>
        <v>1.382696365469906</v>
      </c>
      <c r="T4">
        <f>'BCDTRtSY-state-adjusted'!T15</f>
        <v>1.4074534082709953</v>
      </c>
      <c r="U4">
        <f>'BCDTRtSY-state-adjusted'!U15</f>
        <v>1.4333523119353615</v>
      </c>
      <c r="V4">
        <f>'BCDTRtSY-state-adjusted'!V15</f>
        <v>1.4593985633784001</v>
      </c>
      <c r="W4">
        <f>'BCDTRtSY-state-adjusted'!W15</f>
        <v>1.4857425540708493</v>
      </c>
      <c r="X4">
        <f>'BCDTRtSY-state-adjusted'!X15</f>
        <v>1.5115653076862117</v>
      </c>
      <c r="Y4">
        <f>'BCDTRtSY-state-adjusted'!Y15</f>
        <v>1.5361695206738422</v>
      </c>
      <c r="Z4">
        <f>'BCDTRtSY-state-adjusted'!Z15</f>
        <v>1.5611097520695429</v>
      </c>
      <c r="AA4">
        <f>'BCDTRtSY-state-adjusted'!AA15</f>
        <v>1.5854854672752712</v>
      </c>
      <c r="AB4">
        <f>'BCDTRtSY-state-adjusted'!AB15</f>
        <v>1.6104459595900953</v>
      </c>
    </row>
    <row r="5" spans="1:28">
      <c r="A5" t="s">
        <v>121</v>
      </c>
      <c r="B5">
        <f>'BCDTRtSY-state-adjusted'!B16</f>
        <v>1</v>
      </c>
      <c r="C5">
        <f>'BCDTRtSY-state-adjusted'!C16</f>
        <v>1</v>
      </c>
      <c r="D5">
        <f>'BCDTRtSY-state-adjusted'!D16</f>
        <v>0.98025864957743891</v>
      </c>
      <c r="E5">
        <f>'BCDTRtSY-state-adjusted'!E16</f>
        <v>1.0149130380625011</v>
      </c>
      <c r="F5">
        <f>'BCDTRtSY-state-adjusted'!F16</f>
        <v>0.9970647802292093</v>
      </c>
      <c r="G5">
        <f>'BCDTRtSY-state-adjusted'!G16</f>
        <v>0.99211622616602968</v>
      </c>
      <c r="H5">
        <f>'BCDTRtSY-state-adjusted'!H16</f>
        <v>1.0016437616661031</v>
      </c>
      <c r="I5">
        <f>'BCDTRtSY-state-adjusted'!I16</f>
        <v>0.9768443021485429</v>
      </c>
      <c r="J5">
        <f>'BCDTRtSY-state-adjusted'!J16</f>
        <v>0.98183508731388758</v>
      </c>
      <c r="K5">
        <f>'BCDTRtSY-state-adjusted'!K16</f>
        <v>0.98698485171004935</v>
      </c>
      <c r="L5">
        <f>'BCDTRtSY-state-adjusted'!L16</f>
        <v>0.98507418543994851</v>
      </c>
      <c r="M5">
        <f>'BCDTRtSY-state-adjusted'!M16</f>
        <v>0.98918364505207046</v>
      </c>
      <c r="N5">
        <f>'BCDTRtSY-state-adjusted'!N16</f>
        <v>0.99241978596843827</v>
      </c>
      <c r="O5">
        <f>'BCDTRtSY-state-adjusted'!O16</f>
        <v>0.9970707812094699</v>
      </c>
      <c r="P5">
        <f>'BCDTRtSY-state-adjusted'!P16</f>
        <v>0.99836857293376247</v>
      </c>
      <c r="Q5">
        <f>'BCDTRtSY-state-adjusted'!Q16</f>
        <v>1.0012745376777648</v>
      </c>
      <c r="R5">
        <f>'BCDTRtSY-state-adjusted'!R16</f>
        <v>1.0031619676947288</v>
      </c>
      <c r="S5">
        <f>'BCDTRtSY-state-adjusted'!S16</f>
        <v>1.0029189857608301</v>
      </c>
      <c r="T5">
        <f>'BCDTRtSY-state-adjusted'!T16</f>
        <v>1.0004861064120372</v>
      </c>
      <c r="U5">
        <f>'BCDTRtSY-state-adjusted'!U16</f>
        <v>0.99870482969442886</v>
      </c>
      <c r="V5">
        <f>'BCDTRtSY-state-adjusted'!V16</f>
        <v>0.99947367468516035</v>
      </c>
      <c r="W5">
        <f>'BCDTRtSY-state-adjusted'!W16</f>
        <v>0.9996258254950583</v>
      </c>
      <c r="X5">
        <f>'BCDTRtSY-state-adjusted'!X16</f>
        <v>1.0023845620690843</v>
      </c>
      <c r="Y5">
        <f>'BCDTRtSY-state-adjusted'!Y16</f>
        <v>1.0089612114220998</v>
      </c>
      <c r="Z5">
        <f>'BCDTRtSY-state-adjusted'!Z16</f>
        <v>1.0128320969933331</v>
      </c>
      <c r="AA5">
        <f>'BCDTRtSY-state-adjusted'!AA16</f>
        <v>1.0106197327994537</v>
      </c>
      <c r="AB5">
        <f>'BCDTRtSY-state-adjusted'!AB16</f>
        <v>1.0090949336558421</v>
      </c>
    </row>
    <row r="6" spans="1:28">
      <c r="A6" t="s">
        <v>122</v>
      </c>
      <c r="B6">
        <f>'BCDTRtSY-state-adjusted'!B17</f>
        <v>1</v>
      </c>
      <c r="C6">
        <f>'BCDTRtSY-state-adjusted'!C17</f>
        <v>1</v>
      </c>
      <c r="D6">
        <f>'BCDTRtSY-state-adjusted'!D17</f>
        <v>0.99517545780922978</v>
      </c>
      <c r="E6">
        <f>'BCDTRtSY-state-adjusted'!E17</f>
        <v>1.0174449751921832</v>
      </c>
      <c r="F6">
        <f>'BCDTRtSY-state-adjusted'!F17</f>
        <v>1.0418521724809711</v>
      </c>
      <c r="G6">
        <f>'BCDTRtSY-state-adjusted'!G17</f>
        <v>1.0629556954255897</v>
      </c>
      <c r="H6">
        <f>'BCDTRtSY-state-adjusted'!H17</f>
        <v>1.085081662031927</v>
      </c>
      <c r="I6">
        <f>'BCDTRtSY-state-adjusted'!I17</f>
        <v>1.1036245141025389</v>
      </c>
      <c r="J6">
        <f>'BCDTRtSY-state-adjusted'!J17</f>
        <v>1.1242914258293655</v>
      </c>
      <c r="K6">
        <f>'BCDTRtSY-state-adjusted'!K17</f>
        <v>1.1452986570476136</v>
      </c>
      <c r="L6">
        <f>'BCDTRtSY-state-adjusted'!L17</f>
        <v>1.1670828464477221</v>
      </c>
      <c r="M6">
        <f>'BCDTRtSY-state-adjusted'!M17</f>
        <v>1.1899427235885498</v>
      </c>
      <c r="N6">
        <f>'BCDTRtSY-state-adjusted'!N17</f>
        <v>1.2087301236931269</v>
      </c>
      <c r="O6">
        <f>'BCDTRtSY-state-adjusted'!O17</f>
        <v>1.2241142435248884</v>
      </c>
      <c r="P6">
        <f>'BCDTRtSY-state-adjusted'!P17</f>
        <v>1.2395143334593763</v>
      </c>
      <c r="Q6">
        <f>'BCDTRtSY-state-adjusted'!Q17</f>
        <v>1.2537206130518672</v>
      </c>
      <c r="R6">
        <f>'BCDTRtSY-state-adjusted'!R17</f>
        <v>1.2680332582856482</v>
      </c>
      <c r="S6">
        <f>'BCDTRtSY-state-adjusted'!S17</f>
        <v>1.2816772474913933</v>
      </c>
      <c r="T6">
        <f>'BCDTRtSY-state-adjusted'!T17</f>
        <v>1.2964452822871113</v>
      </c>
      <c r="U6">
        <f>'BCDTRtSY-state-adjusted'!U17</f>
        <v>1.3107998218049</v>
      </c>
      <c r="V6">
        <f>'BCDTRtSY-state-adjusted'!V17</f>
        <v>1.3250219062500774</v>
      </c>
      <c r="W6">
        <f>'BCDTRtSY-state-adjusted'!W17</f>
        <v>1.3406723420034541</v>
      </c>
      <c r="X6">
        <f>'BCDTRtSY-state-adjusted'!X17</f>
        <v>1.3565103809038817</v>
      </c>
      <c r="Y6">
        <f>'BCDTRtSY-state-adjusted'!Y17</f>
        <v>1.3725731822910432</v>
      </c>
      <c r="Z6">
        <f>'BCDTRtSY-state-adjusted'!Z17</f>
        <v>1.3878580167945085</v>
      </c>
      <c r="AA6">
        <f>'BCDTRtSY-state-adjusted'!AA17</f>
        <v>1.4028447458879265</v>
      </c>
      <c r="AB6">
        <f>'BCDTRtSY-state-adjusted'!AB17</f>
        <v>1.4193601078400147</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2026-08-14T21:49:05Z</dcterms:modified>
</cp:coreProperties>
</file>