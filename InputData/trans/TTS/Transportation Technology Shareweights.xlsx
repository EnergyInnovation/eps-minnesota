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N\trans\TTS\"/>
    </mc:Choice>
  </mc:AlternateContent>
  <xr:revisionPtr revIDLastSave="0" documentId="8_{14A40F51-DEC8-4BDE-B180-61C0BDEFA5CA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E5" i="9" s="1"/>
  <c r="H3" i="9" l="1"/>
  <c r="B4" i="9"/>
  <c r="D2" i="9"/>
  <c r="C3" i="9"/>
  <c r="H4" i="9"/>
  <c r="D5" i="9"/>
  <c r="C2" i="9"/>
  <c r="F5" i="9"/>
  <c r="G4" i="9"/>
  <c r="E6" i="9"/>
  <c r="B2" i="9"/>
  <c r="B7" i="9"/>
  <c r="F7" i="9"/>
  <c r="G3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<sst xmlns="http://schemas.openxmlformats.org/spreadsheetml/2006/main" count="1577" uniqueCount="338">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</sst>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59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MN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47400</v>
      </c>
      <c r="C2">
        <f>SUMIFS(SYVbT_all!$D$4:$D$291,SYVbT_all!$A$4:$A$291,About!$B$2,SYVbT_all!$B$4:$B$291,$A2)</f>
        <v>100</v>
      </c>
      <c r="D2">
        <f>SUMIFS(SYVbT_all!$E$4:$E$291,SYVbT_all!$A$4:$A$291,About!$B$2,SYVbT_all!$B$4:$B$291,$A2)</f>
        <v>5272660</v>
      </c>
      <c r="E2">
        <f>SUMIFS(SYVbT_all!$F$4:$F$291,SYVbT_all!$A$4:$A$291,About!$B$2,SYVbT_all!$B$4:$B$291,$A2)</f>
        <v>28045</v>
      </c>
      <c r="F2">
        <f>SUMIFS(SYVbT_all!$G$4:$G$291,SYVbT_all!$A$4:$A$291,About!$B$2,SYVbT_all!$B$4:$B$291,$A2)</f>
        <v>20100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4</v>
      </c>
      <c r="C3">
        <f>SUMIFS(SYVbT_all!$D$4:$D$291,SYVbT_all!$A$4:$A$291,About!$B$2,SYVbT_all!$B$4:$B$291,$A3)</f>
        <v>1687</v>
      </c>
      <c r="D3">
        <f>SUMIFS(SYVbT_all!$E$4:$E$291,SYVbT_all!$A$4:$A$291,About!$B$2,SYVbT_all!$B$4:$B$291,$A3)</f>
        <v>1327</v>
      </c>
      <c r="E3">
        <f>SUMIFS(SYVbT_all!$F$4:$F$291,SYVbT_all!$A$4:$A$291,About!$B$2,SYVbT_all!$B$4:$B$291,$A3)</f>
        <v>10547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618</v>
      </c>
      <c r="H3">
        <f>SUMIFS(SYVbT_all!$I$4:$I$291,SYVbT_all!$A$4:$A$291,About!$B$2,SYVbT_all!$B$4:$B$291,$A3)</f>
        <v>2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147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23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1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546093</v>
      </c>
      <c r="E6">
        <f>SUMIFS(SYVbT_all!$F$4:$F$291,SYVbT_all!$A$4:$A$291,About!$B$2,SYVbT_all!$B$4:$B$291,$A6)</f>
        <v>133126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226544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0.23983771978951599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0.23983771978951599</v>
      </c>
      <c r="K10" s="2">
        <f t="shared" ref="K10:AI10" si="1">IF($G10="s-curve",$E10+($F10-$E10)*K$98,TREND($E10:$F10,$E$9:$F$9,K$9))</f>
        <v>0.24932694023814289</v>
      </c>
      <c r="L10" s="2">
        <f t="shared" si="1"/>
        <v>0.26177210483698971</v>
      </c>
      <c r="M10" s="2">
        <f t="shared" si="1"/>
        <v>0.27794090325118714</v>
      </c>
      <c r="N10" s="2">
        <f t="shared" si="1"/>
        <v>0.29869217221836053</v>
      </c>
      <c r="O10" s="2">
        <f t="shared" si="1"/>
        <v>0.32491068986389093</v>
      </c>
      <c r="P10" s="2">
        <f t="shared" si="1"/>
        <v>0.35738899027487048</v>
      </c>
      <c r="Q10" s="2">
        <f t="shared" si="1"/>
        <v>0.39665139074453837</v>
      </c>
      <c r="R10" s="2">
        <f t="shared" si="1"/>
        <v>0.44273819803409364</v>
      </c>
      <c r="S10" s="2">
        <f t="shared" si="1"/>
        <v>0.49500290111655088</v>
      </c>
      <c r="T10" s="2">
        <f t="shared" si="1"/>
        <v>0.55200681215729752</v>
      </c>
      <c r="U10" s="2">
        <f t="shared" si="1"/>
        <v>0.61159519582416533</v>
      </c>
      <c r="V10" s="2">
        <f t="shared" si="1"/>
        <v>0.67118357949103313</v>
      </c>
      <c r="W10" s="2">
        <f t="shared" si="1"/>
        <v>0.72818749053177978</v>
      </c>
      <c r="X10" s="2">
        <f t="shared" si="1"/>
        <v>0.78045219361423701</v>
      </c>
      <c r="Y10" s="2">
        <f t="shared" si="1"/>
        <v>0.82653900090379218</v>
      </c>
      <c r="Z10" s="2">
        <f t="shared" si="1"/>
        <v>0.86580140137346018</v>
      </c>
      <c r="AA10" s="2">
        <f t="shared" si="1"/>
        <v>0.89827970178443972</v>
      </c>
      <c r="AB10" s="2">
        <f t="shared" si="1"/>
        <v>0.92449821942997013</v>
      </c>
      <c r="AC10" s="2">
        <f t="shared" si="1"/>
        <v>0.9452494883971434</v>
      </c>
      <c r="AD10" s="2">
        <f t="shared" si="1"/>
        <v>0.96141828681134089</v>
      </c>
      <c r="AE10" s="2">
        <f t="shared" si="1"/>
        <v>0.97386345141018782</v>
      </c>
      <c r="AF10" s="2">
        <f t="shared" si="1"/>
        <v>0.98335267185881459</v>
      </c>
      <c r="AG10" s="2">
        <f t="shared" si="1"/>
        <v>0.99053617181454634</v>
      </c>
      <c r="AH10" s="2">
        <f t="shared" si="1"/>
        <v>0.9959446416613138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2.2130378178094778E-2</v>
      </c>
      <c r="F14" s="2">
        <f>E14/E10*F10</f>
        <v>9.2272300610248548E-2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2.2130378178094778E-2</v>
      </c>
      <c r="K14" s="2">
        <f t="shared" ref="K14:AI14" si="2">IF($G14="s-curve",$E14+($F14-$E14)*K$99,TREND($E14:$F14,$E$9:$F$9,K$9))</f>
        <v>2.254785520470709E-2</v>
      </c>
      <c r="L14" s="2">
        <f t="shared" si="2"/>
        <v>2.3161536056892619E-2</v>
      </c>
      <c r="M14" s="2">
        <f t="shared" si="2"/>
        <v>2.405729523557204E-2</v>
      </c>
      <c r="N14" s="2">
        <f t="shared" si="2"/>
        <v>2.5351427741114325E-2</v>
      </c>
      <c r="O14" s="2">
        <f t="shared" si="2"/>
        <v>2.7193622697597793E-2</v>
      </c>
      <c r="P14" s="2">
        <f t="shared" si="2"/>
        <v>2.9761456299715213E-2</v>
      </c>
      <c r="Q14" s="2">
        <f t="shared" si="2"/>
        <v>3.3237858812213007E-2</v>
      </c>
      <c r="R14" s="2">
        <f t="shared" si="2"/>
        <v>3.7762976304746738E-2</v>
      </c>
      <c r="S14" s="2">
        <f t="shared" si="2"/>
        <v>4.3361167904406202E-2</v>
      </c>
      <c r="T14" s="2">
        <f t="shared" si="2"/>
        <v>4.9867076846046673E-2</v>
      </c>
      <c r="U14" s="2">
        <f t="shared" si="2"/>
        <v>5.6900435256550946E-2</v>
      </c>
      <c r="V14" s="2">
        <f t="shared" si="2"/>
        <v>6.3933793667055233E-2</v>
      </c>
      <c r="W14" s="2">
        <f t="shared" si="2"/>
        <v>7.0439702608695698E-2</v>
      </c>
      <c r="X14" s="2">
        <f t="shared" si="2"/>
        <v>7.6037894208355161E-2</v>
      </c>
      <c r="Y14" s="2">
        <f t="shared" si="2"/>
        <v>8.0563011700888892E-2</v>
      </c>
      <c r="Z14" s="2">
        <f t="shared" si="2"/>
        <v>8.4039414213386676E-2</v>
      </c>
      <c r="AA14" s="2">
        <f t="shared" si="2"/>
        <v>8.6607247815504107E-2</v>
      </c>
      <c r="AB14" s="2">
        <f t="shared" si="2"/>
        <v>8.8449442771987574E-2</v>
      </c>
      <c r="AC14" s="2">
        <f t="shared" si="2"/>
        <v>8.9743575277529866E-2</v>
      </c>
      <c r="AD14" s="2">
        <f t="shared" si="2"/>
        <v>9.0639334456209281E-2</v>
      </c>
      <c r="AE14" s="2">
        <f t="shared" si="2"/>
        <v>9.1253015308394816E-2</v>
      </c>
      <c r="AF14" s="2">
        <f t="shared" si="2"/>
        <v>9.1670492335007112E-2</v>
      </c>
      <c r="AG14" s="2">
        <f t="shared" si="2"/>
        <v>9.1953134984551141E-2</v>
      </c>
      <c r="AH14" s="2">
        <f t="shared" si="2"/>
        <v>9.2143869894498118E-2</v>
      </c>
      <c r="AI14" s="2">
        <f t="shared" si="2"/>
        <v>9.2272300610248548E-2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0.95833333333333337</v>
      </c>
      <c r="F52">
        <f>E52</f>
        <v>0.95833333333333337</v>
      </c>
      <c r="G52" t="s">
        <v>327</v>
      </c>
      <c r="I52">
        <f t="shared" si="10"/>
        <v>0.95833333333333337</v>
      </c>
      <c r="J52">
        <f>IF($G52="s-curve",$E52+($F52-$E52)*$I$2/(1+EXP($I$3*(COUNT($I$9:J$9)+$I$4))),TREND($E52:$F52,$E$9:$F$9,J$9))</f>
        <v>0.95833333333333337</v>
      </c>
      <c r="K52">
        <f>IF($G52="s-curve",$E52+($F52-$E52)*$I$2/(1+EXP($I$3*(COUNT($I$9:K$9)+$I$4))),TREND($E52:$F52,$E$9:$F$9,K$9))</f>
        <v>0.95833333333333337</v>
      </c>
      <c r="L52">
        <f>IF($G52="s-curve",$E52+($F52-$E52)*$I$2/(1+EXP($I$3*(COUNT($I$9:L$9)+$I$4))),TREND($E52:$F52,$E$9:$F$9,L$9))</f>
        <v>0.95833333333333337</v>
      </c>
      <c r="M52">
        <f>IF($G52="s-curve",$E52+($F52-$E52)*$I$2/(1+EXP($I$3*(COUNT($I$9:M$9)+$I$4))),TREND($E52:$F52,$E$9:$F$9,M$9))</f>
        <v>0.95833333333333337</v>
      </c>
      <c r="N52">
        <f>IF($G52="s-curve",$E52+($F52-$E52)*$I$2/(1+EXP($I$3*(COUNT($I$9:N$9)+$I$4))),TREND($E52:$F52,$E$9:$F$9,N$9))</f>
        <v>0.95833333333333337</v>
      </c>
      <c r="O52">
        <f>IF($G52="s-curve",$E52+($F52-$E52)*$I$2/(1+EXP($I$3*(COUNT($I$9:O$9)+$I$4))),TREND($E52:$F52,$E$9:$F$9,O$9))</f>
        <v>0.95833333333333337</v>
      </c>
      <c r="P52">
        <f>IF($G52="s-curve",$E52+($F52-$E52)*$I$2/(1+EXP($I$3*(COUNT($I$9:P$9)+$I$4))),TREND($E52:$F52,$E$9:$F$9,P$9))</f>
        <v>0.95833333333333337</v>
      </c>
      <c r="Q52">
        <f>IF($G52="s-curve",$E52+($F52-$E52)*$I$2/(1+EXP($I$3*(COUNT($I$9:Q$9)+$I$4))),TREND($E52:$F52,$E$9:$F$9,Q$9))</f>
        <v>0.95833333333333337</v>
      </c>
      <c r="R52">
        <f>IF($G52="s-curve",$E52+($F52-$E52)*$I$2/(1+EXP($I$3*(COUNT($I$9:R$9)+$I$4))),TREND($E52:$F52,$E$9:$F$9,R$9))</f>
        <v>0.95833333333333337</v>
      </c>
      <c r="S52">
        <f>IF($G52="s-curve",$E52+($F52-$E52)*$I$2/(1+EXP($I$3*(COUNT($I$9:S$9)+$I$4))),TREND($E52:$F52,$E$9:$F$9,S$9))</f>
        <v>0.95833333333333337</v>
      </c>
      <c r="T52">
        <f>IF($G52="s-curve",$E52+($F52-$E52)*$I$2/(1+EXP($I$3*(COUNT($I$9:T$9)+$I$4))),TREND($E52:$F52,$E$9:$F$9,T$9))</f>
        <v>0.95833333333333337</v>
      </c>
      <c r="U52">
        <f>IF($G52="s-curve",$E52+($F52-$E52)*$I$2/(1+EXP($I$3*(COUNT($I$9:U$9)+$I$4))),TREND($E52:$F52,$E$9:$F$9,U$9))</f>
        <v>0.95833333333333337</v>
      </c>
      <c r="V52">
        <f>IF($G52="s-curve",$E52+($F52-$E52)*$I$2/(1+EXP($I$3*(COUNT($I$9:V$9)+$I$4))),TREND($E52:$F52,$E$9:$F$9,V$9))</f>
        <v>0.95833333333333337</v>
      </c>
      <c r="W52">
        <f>IF($G52="s-curve",$E52+($F52-$E52)*$I$2/(1+EXP($I$3*(COUNT($I$9:W$9)+$I$4))),TREND($E52:$F52,$E$9:$F$9,W$9))</f>
        <v>0.95833333333333337</v>
      </c>
      <c r="X52">
        <f>IF($G52="s-curve",$E52+($F52-$E52)*$I$2/(1+EXP($I$3*(COUNT($I$9:X$9)+$I$4))),TREND($E52:$F52,$E$9:$F$9,X$9))</f>
        <v>0.95833333333333337</v>
      </c>
      <c r="Y52">
        <f>IF($G52="s-curve",$E52+($F52-$E52)*$I$2/(1+EXP($I$3*(COUNT($I$9:Y$9)+$I$4))),TREND($E52:$F52,$E$9:$F$9,Y$9))</f>
        <v>0.95833333333333337</v>
      </c>
      <c r="Z52">
        <f>IF($G52="s-curve",$E52+($F52-$E52)*$I$2/(1+EXP($I$3*(COUNT($I$9:Z$9)+$I$4))),TREND($E52:$F52,$E$9:$F$9,Z$9))</f>
        <v>0.95833333333333337</v>
      </c>
      <c r="AA52">
        <f>IF($G52="s-curve",$E52+($F52-$E52)*$I$2/(1+EXP($I$3*(COUNT($I$9:AA$9)+$I$4))),TREND($E52:$F52,$E$9:$F$9,AA$9))</f>
        <v>0.95833333333333337</v>
      </c>
      <c r="AB52">
        <f>IF($G52="s-curve",$E52+($F52-$E52)*$I$2/(1+EXP($I$3*(COUNT($I$9:AB$9)+$I$4))),TREND($E52:$F52,$E$9:$F$9,AB$9))</f>
        <v>0.95833333333333337</v>
      </c>
      <c r="AC52">
        <f>IF($G52="s-curve",$E52+($F52-$E52)*$I$2/(1+EXP($I$3*(COUNT($I$9:AC$9)+$I$4))),TREND($E52:$F52,$E$9:$F$9,AC$9))</f>
        <v>0.95833333333333337</v>
      </c>
      <c r="AD52">
        <f>IF($G52="s-curve",$E52+($F52-$E52)*$I$2/(1+EXP($I$3*(COUNT($I$9:AD$9)+$I$4))),TREND($E52:$F52,$E$9:$F$9,AD$9))</f>
        <v>0.95833333333333337</v>
      </c>
      <c r="AE52">
        <f>IF($G52="s-curve",$E52+($F52-$E52)*$I$2/(1+EXP($I$3*(COUNT($I$9:AE$9)+$I$4))),TREND($E52:$F52,$E$9:$F$9,AE$9))</f>
        <v>0.95833333333333337</v>
      </c>
      <c r="AF52">
        <f>IF($G52="s-curve",$E52+($F52-$E52)*$I$2/(1+EXP($I$3*(COUNT($I$9:AF$9)+$I$4))),TREND($E52:$F52,$E$9:$F$9,AF$9))</f>
        <v>0.95833333333333337</v>
      </c>
      <c r="AG52">
        <f>IF($G52="s-curve",$E52+($F52-$E52)*$I$2/(1+EXP($I$3*(COUNT($I$9:AG$9)+$I$4))),TREND($E52:$F52,$E$9:$F$9,AG$9))</f>
        <v>0.95833333333333337</v>
      </c>
      <c r="AH52">
        <f>IF($G52="s-curve",$E52+($F52-$E52)*$I$2/(1+EXP($I$3*(COUNT($I$9:AH$9)+$I$4))),TREND($E52:$F52,$E$9:$F$9,AH$9))</f>
        <v>0.95833333333333337</v>
      </c>
      <c r="AI52">
        <f>IF($G52="s-curve",$E52+($F52-$E52)*$I$2/(1+EXP($I$3*(COUNT($I$9:AI$9)+$I$4))),TREND($E52:$F52,$E$9:$F$9,AI$9))</f>
        <v>0.95833333333333337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4.166666666666663E-2</v>
      </c>
      <c r="F55">
        <f>E55</f>
        <v>4.166666666666663E-2</v>
      </c>
      <c r="G55" t="str">
        <f>IF(E55=F55,"n/a",IF(OR(C55="battery electric vehicle",C55="natural gas vehicle",C55="plugin hybrid vehicle"),"s-curve","linear"))</f>
        <v>n/a</v>
      </c>
      <c r="I55">
        <f t="shared" si="10"/>
        <v>4.166666666666663E-2</v>
      </c>
      <c r="J55">
        <f>IF($G55="s-curve",$E55+($F55-$E55)*$I$2/(1+EXP($I$3*(COUNT($I$9:J$9)+$I$4))),TREND($E55:$F55,$E$9:$F$9,J$9))</f>
        <v>4.166666666666663E-2</v>
      </c>
      <c r="K55">
        <f>IF($G55="s-curve",$E55+($F55-$E55)*$I$2/(1+EXP($I$3*(COUNT($I$9:K$9)+$I$4))),TREND($E55:$F55,$E$9:$F$9,K$9))</f>
        <v>4.166666666666663E-2</v>
      </c>
      <c r="L55">
        <f>IF($G55="s-curve",$E55+($F55-$E55)*$I$2/(1+EXP($I$3*(COUNT($I$9:L$9)+$I$4))),TREND($E55:$F55,$E$9:$F$9,L$9))</f>
        <v>4.166666666666663E-2</v>
      </c>
      <c r="M55">
        <f>IF($G55="s-curve",$E55+($F55-$E55)*$I$2/(1+EXP($I$3*(COUNT($I$9:M$9)+$I$4))),TREND($E55:$F55,$E$9:$F$9,M$9))</f>
        <v>4.166666666666663E-2</v>
      </c>
      <c r="N55">
        <f>IF($G55="s-curve",$E55+($F55-$E55)*$I$2/(1+EXP($I$3*(COUNT($I$9:N$9)+$I$4))),TREND($E55:$F55,$E$9:$F$9,N$9))</f>
        <v>4.166666666666663E-2</v>
      </c>
      <c r="O55">
        <f>IF($G55="s-curve",$E55+($F55-$E55)*$I$2/(1+EXP($I$3*(COUNT($I$9:O$9)+$I$4))),TREND($E55:$F55,$E$9:$F$9,O$9))</f>
        <v>4.166666666666663E-2</v>
      </c>
      <c r="P55">
        <f>IF($G55="s-curve",$E55+($F55-$E55)*$I$2/(1+EXP($I$3*(COUNT($I$9:P$9)+$I$4))),TREND($E55:$F55,$E$9:$F$9,P$9))</f>
        <v>4.166666666666663E-2</v>
      </c>
      <c r="Q55">
        <f>IF($G55="s-curve",$E55+($F55-$E55)*$I$2/(1+EXP($I$3*(COUNT($I$9:Q$9)+$I$4))),TREND($E55:$F55,$E$9:$F$9,Q$9))</f>
        <v>4.166666666666663E-2</v>
      </c>
      <c r="R55">
        <f>IF($G55="s-curve",$E55+($F55-$E55)*$I$2/(1+EXP($I$3*(COUNT($I$9:R$9)+$I$4))),TREND($E55:$F55,$E$9:$F$9,R$9))</f>
        <v>4.166666666666663E-2</v>
      </c>
      <c r="S55">
        <f>IF($G55="s-curve",$E55+($F55-$E55)*$I$2/(1+EXP($I$3*(COUNT($I$9:S$9)+$I$4))),TREND($E55:$F55,$E$9:$F$9,S$9))</f>
        <v>4.166666666666663E-2</v>
      </c>
      <c r="T55">
        <f>IF($G55="s-curve",$E55+($F55-$E55)*$I$2/(1+EXP($I$3*(COUNT($I$9:T$9)+$I$4))),TREND($E55:$F55,$E$9:$F$9,T$9))</f>
        <v>4.166666666666663E-2</v>
      </c>
      <c r="U55">
        <f>IF($G55="s-curve",$E55+($F55-$E55)*$I$2/(1+EXP($I$3*(COUNT($I$9:U$9)+$I$4))),TREND($E55:$F55,$E$9:$F$9,U$9))</f>
        <v>4.166666666666663E-2</v>
      </c>
      <c r="V55">
        <f>IF($G55="s-curve",$E55+($F55-$E55)*$I$2/(1+EXP($I$3*(COUNT($I$9:V$9)+$I$4))),TREND($E55:$F55,$E$9:$F$9,V$9))</f>
        <v>4.166666666666663E-2</v>
      </c>
      <c r="W55">
        <f>IF($G55="s-curve",$E55+($F55-$E55)*$I$2/(1+EXP($I$3*(COUNT($I$9:W$9)+$I$4))),TREND($E55:$F55,$E$9:$F$9,W$9))</f>
        <v>4.166666666666663E-2</v>
      </c>
      <c r="X55">
        <f>IF($G55="s-curve",$E55+($F55-$E55)*$I$2/(1+EXP($I$3*(COUNT($I$9:X$9)+$I$4))),TREND($E55:$F55,$E$9:$F$9,X$9))</f>
        <v>4.166666666666663E-2</v>
      </c>
      <c r="Y55">
        <f>IF($G55="s-curve",$E55+($F55-$E55)*$I$2/(1+EXP($I$3*(COUNT($I$9:Y$9)+$I$4))),TREND($E55:$F55,$E$9:$F$9,Y$9))</f>
        <v>4.166666666666663E-2</v>
      </c>
      <c r="Z55">
        <f>IF($G55="s-curve",$E55+($F55-$E55)*$I$2/(1+EXP($I$3*(COUNT($I$9:Z$9)+$I$4))),TREND($E55:$F55,$E$9:$F$9,Z$9))</f>
        <v>4.166666666666663E-2</v>
      </c>
      <c r="AA55">
        <f>IF($G55="s-curve",$E55+($F55-$E55)*$I$2/(1+EXP($I$3*(COUNT($I$9:AA$9)+$I$4))),TREND($E55:$F55,$E$9:$F$9,AA$9))</f>
        <v>4.166666666666663E-2</v>
      </c>
      <c r="AB55">
        <f>IF($G55="s-curve",$E55+($F55-$E55)*$I$2/(1+EXP($I$3*(COUNT($I$9:AB$9)+$I$4))),TREND($E55:$F55,$E$9:$F$9,AB$9))</f>
        <v>4.166666666666663E-2</v>
      </c>
      <c r="AC55">
        <f>IF($G55="s-curve",$E55+($F55-$E55)*$I$2/(1+EXP($I$3*(COUNT($I$9:AC$9)+$I$4))),TREND($E55:$F55,$E$9:$F$9,AC$9))</f>
        <v>4.166666666666663E-2</v>
      </c>
      <c r="AD55">
        <f>IF($G55="s-curve",$E55+($F55-$E55)*$I$2/(1+EXP($I$3*(COUNT($I$9:AD$9)+$I$4))),TREND($E55:$F55,$E$9:$F$9,AD$9))</f>
        <v>4.166666666666663E-2</v>
      </c>
      <c r="AE55">
        <f>IF($G55="s-curve",$E55+($F55-$E55)*$I$2/(1+EXP($I$3*(COUNT($I$9:AE$9)+$I$4))),TREND($E55:$F55,$E$9:$F$9,AE$9))</f>
        <v>4.166666666666663E-2</v>
      </c>
      <c r="AF55">
        <f>IF($G55="s-curve",$E55+($F55-$E55)*$I$2/(1+EXP($I$3*(COUNT($I$9:AF$9)+$I$4))),TREND($E55:$F55,$E$9:$F$9,AF$9))</f>
        <v>4.166666666666663E-2</v>
      </c>
      <c r="AG55">
        <f>IF($G55="s-curve",$E55+($F55-$E55)*$I$2/(1+EXP($I$3*(COUNT($I$9:AG$9)+$I$4))),TREND($E55:$F55,$E$9:$F$9,AG$9))</f>
        <v>4.166666666666663E-2</v>
      </c>
      <c r="AH55">
        <f>IF($G55="s-curve",$E55+($F55-$E55)*$I$2/(1+EXP($I$3*(COUNT($I$9:AH$9)+$I$4))),TREND($E55:$F55,$E$9:$F$9,AH$9))</f>
        <v>4.166666666666663E-2</v>
      </c>
      <c r="AI55">
        <f>IF($G55="s-curve",$E55+($F55-$E55)*$I$2/(1+EXP($I$3*(COUNT($I$9:AI$9)+$I$4))),TREND($E55:$F55,$E$9:$F$9,AI$9))</f>
        <v>4.166666666666663E-2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0.23983771978951599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0.23983771978951599</v>
      </c>
      <c r="J80" s="2">
        <f>$E80</f>
        <v>0.23983771978951599</v>
      </c>
      <c r="K80" s="2">
        <f t="shared" ref="K80:AI80" si="13">IF($G80="s-curve",$E80+($F80-$E80)*K$98,TREND($E80:$F80,$E$9:$F$9,K$9))</f>
        <v>0.24932694023814289</v>
      </c>
      <c r="L80" s="2">
        <f t="shared" si="13"/>
        <v>0.26177210483698971</v>
      </c>
      <c r="M80" s="2">
        <f t="shared" si="13"/>
        <v>0.27794090325118714</v>
      </c>
      <c r="N80" s="2">
        <f t="shared" si="13"/>
        <v>0.29869217221836053</v>
      </c>
      <c r="O80" s="2">
        <f t="shared" si="13"/>
        <v>0.32491068986389093</v>
      </c>
      <c r="P80" s="2">
        <f t="shared" si="13"/>
        <v>0.35738899027487048</v>
      </c>
      <c r="Q80" s="2">
        <f t="shared" si="13"/>
        <v>0.39665139074453837</v>
      </c>
      <c r="R80" s="2">
        <f t="shared" si="13"/>
        <v>0.44273819803409364</v>
      </c>
      <c r="S80" s="2">
        <f t="shared" si="13"/>
        <v>0.49500290111655088</v>
      </c>
      <c r="T80" s="2">
        <f t="shared" si="13"/>
        <v>0.55200681215729752</v>
      </c>
      <c r="U80" s="2">
        <f t="shared" si="13"/>
        <v>0.61159519582416533</v>
      </c>
      <c r="V80" s="2">
        <f t="shared" si="13"/>
        <v>0.67118357949103313</v>
      </c>
      <c r="W80" s="2">
        <f t="shared" si="13"/>
        <v>0.72818749053177978</v>
      </c>
      <c r="X80" s="2">
        <f t="shared" si="13"/>
        <v>0.78045219361423701</v>
      </c>
      <c r="Y80" s="2">
        <f t="shared" si="13"/>
        <v>0.82653900090379218</v>
      </c>
      <c r="Z80" s="2">
        <f t="shared" si="13"/>
        <v>0.86580140137346018</v>
      </c>
      <c r="AA80" s="2">
        <f t="shared" si="13"/>
        <v>0.89827970178443972</v>
      </c>
      <c r="AB80" s="2">
        <f t="shared" si="13"/>
        <v>0.92449821942997013</v>
      </c>
      <c r="AC80" s="2">
        <f t="shared" si="13"/>
        <v>0.9452494883971434</v>
      </c>
      <c r="AD80" s="2">
        <f t="shared" si="13"/>
        <v>0.96141828681134089</v>
      </c>
      <c r="AE80" s="2">
        <f t="shared" si="13"/>
        <v>0.97386345141018782</v>
      </c>
      <c r="AF80" s="2">
        <f t="shared" si="13"/>
        <v>0.98335267185881459</v>
      </c>
      <c r="AG80" s="2">
        <f t="shared" si="13"/>
        <v>0.99053617181454634</v>
      </c>
      <c r="AH80" s="2">
        <f t="shared" si="13"/>
        <v>0.9959446416613138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2.2130378178094778E-2</v>
      </c>
      <c r="F84">
        <f t="shared" si="12"/>
        <v>9.2272300610248548E-2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2.2130378178094778E-2</v>
      </c>
      <c r="J84" s="2">
        <f>$E84</f>
        <v>2.2130378178094778E-2</v>
      </c>
      <c r="K84" s="2">
        <f t="shared" ref="K84:AI84" si="14">IF($G84="s-curve",$E84+($F84-$E84)*K$97,TREND($E84:$F84,$E$9:$F$9,K$9))</f>
        <v>2.2343656795379113E-2</v>
      </c>
      <c r="L84" s="2">
        <f t="shared" si="14"/>
        <v>2.2629633737603089E-2</v>
      </c>
      <c r="M84" s="2">
        <f t="shared" si="14"/>
        <v>2.3012206614733348E-2</v>
      </c>
      <c r="N84" s="2">
        <f t="shared" si="14"/>
        <v>2.3522428818875334E-2</v>
      </c>
      <c r="O84" s="2">
        <f t="shared" si="14"/>
        <v>2.4200103149085012E-2</v>
      </c>
      <c r="P84" s="2">
        <f t="shared" si="14"/>
        <v>2.5095293676176779E-2</v>
      </c>
      <c r="Q84" s="2">
        <f t="shared" si="14"/>
        <v>2.6269340956171998E-2</v>
      </c>
      <c r="R84" s="2">
        <f t="shared" si="14"/>
        <v>2.7794667009371686E-2</v>
      </c>
      <c r="S84" s="2">
        <f t="shared" si="14"/>
        <v>2.9752292454487669E-2</v>
      </c>
      <c r="T84" s="2">
        <f t="shared" si="14"/>
        <v>3.2225685159160605E-2</v>
      </c>
      <c r="U84" s="2">
        <f t="shared" si="14"/>
        <v>3.528961090747184E-2</v>
      </c>
      <c r="V84" s="2">
        <f t="shared" si="14"/>
        <v>3.89935325479914E-2</v>
      </c>
      <c r="W84" s="2">
        <f t="shared" si="14"/>
        <v>4.3341252524871421E-2</v>
      </c>
      <c r="X84" s="2">
        <f t="shared" si="14"/>
        <v>4.8271780522821925E-2</v>
      </c>
      <c r="Y84" s="2">
        <f t="shared" si="14"/>
        <v>5.3649394147368079E-2</v>
      </c>
      <c r="Z84" s="2">
        <f t="shared" si="14"/>
        <v>5.9270820783210276E-2</v>
      </c>
      <c r="AA84" s="2">
        <f t="shared" si="14"/>
        <v>6.489224741905246E-2</v>
      </c>
      <c r="AB84" s="2">
        <f t="shared" si="14"/>
        <v>7.0269861043598614E-2</v>
      </c>
      <c r="AC84" s="2">
        <f t="shared" si="14"/>
        <v>7.5200389041549118E-2</v>
      </c>
      <c r="AD84" s="2">
        <f t="shared" si="14"/>
        <v>7.9548109018429139E-2</v>
      </c>
      <c r="AE84" s="2">
        <f t="shared" si="14"/>
        <v>8.3252030658948692E-2</v>
      </c>
      <c r="AF84" s="2">
        <f t="shared" si="14"/>
        <v>8.6315956407259947E-2</v>
      </c>
      <c r="AG84" s="2">
        <f t="shared" si="14"/>
        <v>8.8789349111932869E-2</v>
      </c>
      <c r="AH84" s="2">
        <f t="shared" si="14"/>
        <v>9.074697455704886E-2</v>
      </c>
      <c r="AI84" s="2">
        <f t="shared" si="14"/>
        <v>9.2272300610248548E-2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0.23983771978951599</v>
      </c>
      <c r="C2">
        <f>Data!K10</f>
        <v>0.24932694023814289</v>
      </c>
      <c r="D2">
        <f>Data!L10</f>
        <v>0.26177210483698971</v>
      </c>
      <c r="E2">
        <f>Data!M10</f>
        <v>0.27794090325118714</v>
      </c>
      <c r="F2">
        <f>Data!N10</f>
        <v>0.29869217221836053</v>
      </c>
      <c r="G2">
        <f>Data!O10</f>
        <v>0.32491068986389093</v>
      </c>
      <c r="H2">
        <f>Data!P10</f>
        <v>0.35738899027487048</v>
      </c>
      <c r="I2">
        <f>Data!Q10</f>
        <v>0.39665139074453837</v>
      </c>
      <c r="J2">
        <f>Data!R10</f>
        <v>0.44273819803409364</v>
      </c>
      <c r="K2">
        <f>Data!S10</f>
        <v>0.49500290111655088</v>
      </c>
      <c r="L2">
        <f>Data!T10</f>
        <v>0.55200681215729752</v>
      </c>
      <c r="M2">
        <f>Data!U10</f>
        <v>0.61159519582416533</v>
      </c>
      <c r="N2">
        <f>Data!V10</f>
        <v>0.67118357949103313</v>
      </c>
      <c r="O2">
        <f>Data!W10</f>
        <v>0.72818749053177978</v>
      </c>
      <c r="P2">
        <f>Data!X10</f>
        <v>0.78045219361423701</v>
      </c>
      <c r="Q2">
        <f>Data!Y10</f>
        <v>0.82653900090379218</v>
      </c>
      <c r="R2">
        <f>Data!Z10</f>
        <v>0.86580140137346018</v>
      </c>
      <c r="S2">
        <f>Data!AA10</f>
        <v>0.89827970178443972</v>
      </c>
      <c r="T2">
        <f>Data!AB10</f>
        <v>0.92449821942997013</v>
      </c>
      <c r="U2">
        <f>Data!AC10</f>
        <v>0.9452494883971434</v>
      </c>
      <c r="V2">
        <f>Data!AD10</f>
        <v>0.96141828681134089</v>
      </c>
      <c r="W2">
        <f>Data!AE10</f>
        <v>0.97386345141018782</v>
      </c>
      <c r="X2">
        <f>Data!AF10</f>
        <v>0.98335267185881459</v>
      </c>
      <c r="Y2">
        <f>Data!AG10</f>
        <v>0.99053617181454634</v>
      </c>
      <c r="Z2">
        <f>Data!AH10</f>
        <v>0.9959446416613138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2.2130378178094778E-2</v>
      </c>
      <c r="C6">
        <f>Data!K14</f>
        <v>2.254785520470709E-2</v>
      </c>
      <c r="D6">
        <f>Data!L14</f>
        <v>2.3161536056892619E-2</v>
      </c>
      <c r="E6">
        <f>Data!M14</f>
        <v>2.405729523557204E-2</v>
      </c>
      <c r="F6">
        <f>Data!N14</f>
        <v>2.5351427741114325E-2</v>
      </c>
      <c r="G6">
        <f>Data!O14</f>
        <v>2.7193622697597793E-2</v>
      </c>
      <c r="H6">
        <f>Data!P14</f>
        <v>2.9761456299715213E-2</v>
      </c>
      <c r="I6">
        <f>Data!Q14</f>
        <v>3.3237858812213007E-2</v>
      </c>
      <c r="J6">
        <f>Data!R14</f>
        <v>3.7762976304746738E-2</v>
      </c>
      <c r="K6">
        <f>Data!S14</f>
        <v>4.3361167904406202E-2</v>
      </c>
      <c r="L6">
        <f>Data!T14</f>
        <v>4.9867076846046673E-2</v>
      </c>
      <c r="M6">
        <f>Data!U14</f>
        <v>5.6900435256550946E-2</v>
      </c>
      <c r="N6">
        <f>Data!V14</f>
        <v>6.3933793667055233E-2</v>
      </c>
      <c r="O6">
        <f>Data!W14</f>
        <v>7.0439702608695698E-2</v>
      </c>
      <c r="P6">
        <f>Data!X14</f>
        <v>7.6037894208355161E-2</v>
      </c>
      <c r="Q6">
        <f>Data!Y14</f>
        <v>8.0563011700888892E-2</v>
      </c>
      <c r="R6">
        <f>Data!Z14</f>
        <v>8.4039414213386676E-2</v>
      </c>
      <c r="S6">
        <f>Data!AA14</f>
        <v>8.6607247815504107E-2</v>
      </c>
      <c r="T6">
        <f>Data!AB14</f>
        <v>8.8449442771987574E-2</v>
      </c>
      <c r="U6">
        <f>Data!AC14</f>
        <v>8.9743575277529866E-2</v>
      </c>
      <c r="V6">
        <f>Data!AD14</f>
        <v>9.0639334456209281E-2</v>
      </c>
      <c r="W6">
        <f>Data!AE14</f>
        <v>9.1253015308394816E-2</v>
      </c>
      <c r="X6">
        <f>Data!AF14</f>
        <v>9.1670492335007112E-2</v>
      </c>
      <c r="Y6">
        <f>Data!AG14</f>
        <v>9.1953134984551141E-2</v>
      </c>
      <c r="Z6">
        <f>Data!AH14</f>
        <v>9.2143869894498118E-2</v>
      </c>
      <c r="AA6">
        <f>Data!AI14</f>
        <v>9.2272300610248548E-2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0.95833333333333337</v>
      </c>
      <c r="C2">
        <f>Data!K52</f>
        <v>0.95833333333333337</v>
      </c>
      <c r="D2">
        <f>Data!L52</f>
        <v>0.95833333333333337</v>
      </c>
      <c r="E2">
        <f>Data!M52</f>
        <v>0.95833333333333337</v>
      </c>
      <c r="F2">
        <f>Data!N52</f>
        <v>0.95833333333333337</v>
      </c>
      <c r="G2">
        <f>Data!O52</f>
        <v>0.95833333333333337</v>
      </c>
      <c r="H2">
        <f>Data!P52</f>
        <v>0.95833333333333337</v>
      </c>
      <c r="I2">
        <f>Data!Q52</f>
        <v>0.95833333333333337</v>
      </c>
      <c r="J2">
        <f>Data!R52</f>
        <v>0.95833333333333337</v>
      </c>
      <c r="K2">
        <f>Data!S52</f>
        <v>0.95833333333333337</v>
      </c>
      <c r="L2">
        <f>Data!T52</f>
        <v>0.95833333333333337</v>
      </c>
      <c r="M2">
        <f>Data!U52</f>
        <v>0.95833333333333337</v>
      </c>
      <c r="N2">
        <f>Data!V52</f>
        <v>0.95833333333333337</v>
      </c>
      <c r="O2">
        <f>Data!W52</f>
        <v>0.95833333333333337</v>
      </c>
      <c r="P2">
        <f>Data!X52</f>
        <v>0.95833333333333337</v>
      </c>
      <c r="Q2">
        <f>Data!Y52</f>
        <v>0.95833333333333337</v>
      </c>
      <c r="R2">
        <f>Data!Z52</f>
        <v>0.95833333333333337</v>
      </c>
      <c r="S2">
        <f>Data!AA52</f>
        <v>0.95833333333333337</v>
      </c>
      <c r="T2">
        <f>Data!AB52</f>
        <v>0.95833333333333337</v>
      </c>
      <c r="U2">
        <f>Data!AC52</f>
        <v>0.95833333333333337</v>
      </c>
      <c r="V2">
        <f>Data!AD52</f>
        <v>0.95833333333333337</v>
      </c>
      <c r="W2">
        <f>Data!AE52</f>
        <v>0.95833333333333337</v>
      </c>
      <c r="X2">
        <f>Data!AF52</f>
        <v>0.95833333333333337</v>
      </c>
      <c r="Y2">
        <f>Data!AG52</f>
        <v>0.95833333333333337</v>
      </c>
      <c r="Z2">
        <f>Data!AH52</f>
        <v>0.95833333333333337</v>
      </c>
      <c r="AA2">
        <f>Data!AI52</f>
        <v>0.95833333333333337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4.166666666666663E-2</v>
      </c>
      <c r="C5">
        <f>Data!K55</f>
        <v>4.166666666666663E-2</v>
      </c>
      <c r="D5">
        <f>Data!L55</f>
        <v>4.166666666666663E-2</v>
      </c>
      <c r="E5">
        <f>Data!M55</f>
        <v>4.166666666666663E-2</v>
      </c>
      <c r="F5">
        <f>Data!N55</f>
        <v>4.166666666666663E-2</v>
      </c>
      <c r="G5">
        <f>Data!O55</f>
        <v>4.166666666666663E-2</v>
      </c>
      <c r="H5">
        <f>Data!P55</f>
        <v>4.166666666666663E-2</v>
      </c>
      <c r="I5">
        <f>Data!Q55</f>
        <v>4.166666666666663E-2</v>
      </c>
      <c r="J5">
        <f>Data!R55</f>
        <v>4.166666666666663E-2</v>
      </c>
      <c r="K5">
        <f>Data!S55</f>
        <v>4.166666666666663E-2</v>
      </c>
      <c r="L5">
        <f>Data!T55</f>
        <v>4.166666666666663E-2</v>
      </c>
      <c r="M5">
        <f>Data!U55</f>
        <v>4.166666666666663E-2</v>
      </c>
      <c r="N5">
        <f>Data!V55</f>
        <v>4.166666666666663E-2</v>
      </c>
      <c r="O5">
        <f>Data!W55</f>
        <v>4.166666666666663E-2</v>
      </c>
      <c r="P5">
        <f>Data!X55</f>
        <v>4.166666666666663E-2</v>
      </c>
      <c r="Q5">
        <f>Data!Y55</f>
        <v>4.166666666666663E-2</v>
      </c>
      <c r="R5">
        <f>Data!Z55</f>
        <v>4.166666666666663E-2</v>
      </c>
      <c r="S5">
        <f>Data!AA55</f>
        <v>4.166666666666663E-2</v>
      </c>
      <c r="T5">
        <f>Data!AB55</f>
        <v>4.166666666666663E-2</v>
      </c>
      <c r="U5">
        <f>Data!AC55</f>
        <v>4.166666666666663E-2</v>
      </c>
      <c r="V5">
        <f>Data!AD55</f>
        <v>4.166666666666663E-2</v>
      </c>
      <c r="W5">
        <f>Data!AE55</f>
        <v>4.166666666666663E-2</v>
      </c>
      <c r="X5">
        <f>Data!AF55</f>
        <v>4.166666666666663E-2</v>
      </c>
      <c r="Y5">
        <f>Data!AG55</f>
        <v>4.166666666666663E-2</v>
      </c>
      <c r="Z5">
        <f>Data!AH55</f>
        <v>4.166666666666663E-2</v>
      </c>
      <c r="AA5">
        <f>Data!AI55</f>
        <v>4.166666666666663E-2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0.23983771978951599</v>
      </c>
      <c r="C2">
        <f>Data!K80</f>
        <v>0.24932694023814289</v>
      </c>
      <c r="D2">
        <f>Data!L80</f>
        <v>0.26177210483698971</v>
      </c>
      <c r="E2">
        <f>Data!M80</f>
        <v>0.27794090325118714</v>
      </c>
      <c r="F2">
        <f>Data!N80</f>
        <v>0.29869217221836053</v>
      </c>
      <c r="G2">
        <f>Data!O80</f>
        <v>0.32491068986389093</v>
      </c>
      <c r="H2">
        <f>Data!P80</f>
        <v>0.35738899027487048</v>
      </c>
      <c r="I2">
        <f>Data!Q80</f>
        <v>0.39665139074453837</v>
      </c>
      <c r="J2">
        <f>Data!R80</f>
        <v>0.44273819803409364</v>
      </c>
      <c r="K2">
        <f>Data!S80</f>
        <v>0.49500290111655088</v>
      </c>
      <c r="L2">
        <f>Data!T80</f>
        <v>0.55200681215729752</v>
      </c>
      <c r="M2">
        <f>Data!U80</f>
        <v>0.61159519582416533</v>
      </c>
      <c r="N2">
        <f>Data!V80</f>
        <v>0.67118357949103313</v>
      </c>
      <c r="O2">
        <f>Data!W80</f>
        <v>0.72818749053177978</v>
      </c>
      <c r="P2">
        <f>Data!X80</f>
        <v>0.78045219361423701</v>
      </c>
      <c r="Q2">
        <f>Data!Y80</f>
        <v>0.82653900090379218</v>
      </c>
      <c r="R2">
        <f>Data!Z80</f>
        <v>0.86580140137346018</v>
      </c>
      <c r="S2">
        <f>Data!AA80</f>
        <v>0.89827970178443972</v>
      </c>
      <c r="T2">
        <f>Data!AB80</f>
        <v>0.92449821942997013</v>
      </c>
      <c r="U2">
        <f>Data!AC80</f>
        <v>0.9452494883971434</v>
      </c>
      <c r="V2">
        <f>Data!AD80</f>
        <v>0.96141828681134089</v>
      </c>
      <c r="W2">
        <f>Data!AE80</f>
        <v>0.97386345141018782</v>
      </c>
      <c r="X2">
        <f>Data!AF80</f>
        <v>0.98335267185881459</v>
      </c>
      <c r="Y2">
        <f>Data!AG80</f>
        <v>0.99053617181454634</v>
      </c>
      <c r="Z2">
        <f>Data!AH80</f>
        <v>0.9959446416613138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2.2130378178094778E-2</v>
      </c>
      <c r="C6">
        <f>Data!K84</f>
        <v>2.2343656795379113E-2</v>
      </c>
      <c r="D6">
        <f>Data!L84</f>
        <v>2.2629633737603089E-2</v>
      </c>
      <c r="E6">
        <f>Data!M84</f>
        <v>2.3012206614733348E-2</v>
      </c>
      <c r="F6">
        <f>Data!N84</f>
        <v>2.3522428818875334E-2</v>
      </c>
      <c r="G6">
        <f>Data!O84</f>
        <v>2.4200103149085012E-2</v>
      </c>
      <c r="H6">
        <f>Data!P84</f>
        <v>2.5095293676176779E-2</v>
      </c>
      <c r="I6">
        <f>Data!Q84</f>
        <v>2.6269340956171998E-2</v>
      </c>
      <c r="J6">
        <f>Data!R84</f>
        <v>2.7794667009371686E-2</v>
      </c>
      <c r="K6">
        <f>Data!S84</f>
        <v>2.9752292454487669E-2</v>
      </c>
      <c r="L6">
        <f>Data!T84</f>
        <v>3.2225685159160605E-2</v>
      </c>
      <c r="M6">
        <f>Data!U84</f>
        <v>3.528961090747184E-2</v>
      </c>
      <c r="N6">
        <f>Data!V84</f>
        <v>3.89935325479914E-2</v>
      </c>
      <c r="O6">
        <f>Data!W84</f>
        <v>4.3341252524871421E-2</v>
      </c>
      <c r="P6">
        <f>Data!X84</f>
        <v>4.8271780522821925E-2</v>
      </c>
      <c r="Q6">
        <f>Data!Y84</f>
        <v>5.3649394147368079E-2</v>
      </c>
      <c r="R6">
        <f>Data!Z84</f>
        <v>5.9270820783210276E-2</v>
      </c>
      <c r="S6">
        <f>Data!AA84</f>
        <v>6.489224741905246E-2</v>
      </c>
      <c r="T6">
        <f>Data!AB84</f>
        <v>7.0269861043598614E-2</v>
      </c>
      <c r="U6">
        <f>Data!AC84</f>
        <v>7.5200389041549118E-2</v>
      </c>
      <c r="V6">
        <f>Data!AD84</f>
        <v>7.9548109018429139E-2</v>
      </c>
      <c r="W6">
        <f>Data!AE84</f>
        <v>8.3252030658948692E-2</v>
      </c>
      <c r="X6">
        <f>Data!AF84</f>
        <v>8.6315956407259947E-2</v>
      </c>
      <c r="Y6">
        <f>Data!AG84</f>
        <v>8.8789349111932869E-2</v>
      </c>
      <c r="Z6">
        <f>Data!AH84</f>
        <v>9.074697455704886E-2</v>
      </c>
      <c r="AA6">
        <f>Data!AI84</f>
        <v>9.2272300610248548E-2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2026-08-03T19:40:53Z</dcterms:modified>
</cp:coreProperties>
</file>