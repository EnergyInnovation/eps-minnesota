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DCS_numerator_by_BEA" sheetId="3" state="visible" r:id="rId3"/>
    <sheet name="2_DCS_denominator_by_BEA" sheetId="4" state="visible" r:id="rId4"/>
    <sheet name="3_ESoP_RoUS_exports_by_BEA" sheetId="5" state="visible" r:id="rId5"/>
    <sheet name="4_ESoP_intl_exports_by_BEA" sheetId="6" state="visible" r:id="rId6"/>
    <sheet name="5_Exp_total_by_BEA" sheetId="7" state="visible" r:id="rId7"/>
    <sheet name="Src_Stateior_SoI_DomUse" sheetId="8" state="visible" r:id="rId8"/>
    <sheet name="Src_Stateior_SoI_TotUse" sheetId="9" state="visible" r:id="rId9"/>
    <sheet name="Src_Disagg_EIA_coal" sheetId="10" state="visible" r:id="rId10"/>
    <sheet name="Src_Disagg_heuristics" sheetId="11" state="visible" r:id="rId11"/>
    <sheet name="Crosswalk_BEA_to_ISIC" sheetId="12" state="visible" r:id="rId12"/>
    <sheet name="State_disagg_splits" sheetId="13" state="visible" r:id="rId13"/>
    <sheet name="NAICS_to_ISIC_Key" sheetId="14" state="visible" r:id="rId14"/>
    <sheet name="6_Calc_DCS_num_ISIC" sheetId="15" state="visible" r:id="rId15"/>
    <sheet name="7_Calc_DCS_den_ISIC" sheetId="16" state="visible" r:id="rId16"/>
    <sheet name="8_Calc_Exp_ISIC" sheetId="17" state="visible" r:id="rId17"/>
    <sheet name="9_Output_by_ISIC" sheetId="18" state="visible" r:id="rId18"/>
    <sheet name="9b_DCS_overrides" sheetId="19" state="visible" r:id="rId19"/>
    <sheet name="9c_ESoP_overrides" sheetId="20" state="visible" r:id="rId20"/>
    <sheet name="10_Calc_DCS_ratio" sheetId="21" state="visible" r:id="rId21"/>
    <sheet name="11_Calc_ESoP_ratio" sheetId="22" state="visible" r:id="rId22"/>
    <sheet name="BDCSoCbIC" sheetId="23" state="visible" r:id="rId23"/>
    <sheet name="BESoP" sheetId="24" state="visible" r:id="rId24"/>
  </sheets>
  <calcPr calcId="191029" fullCalcOnLoad="1"/>
</workbook>
</file>

<file path=xl/sharedStrings.xml><?xml version="1.0" encoding="utf-8"?>
<sst xmlns="http://schemas.openxmlformats.org/spreadsheetml/2006/main" count="613" uniqueCount="613">
  <si>
    <t xml:space="preserve">BDCSoCbIC - BAU Domestic Content Share by ISIC Code</t>
  </si>
  <si>
    <t xml:space="preserve"/>
  </si>
  <si>
    <t xml:space="preserve">State: Minnesota (MN)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</si>
  <si>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</si>
  <si>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</si>
  <si>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</si>
  <si>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For each 42-ISIC commodity i, domestic content share =</t>
  </si>
  <si>
    <t xml:space="preserve">    DCS(i) = SoI-produced-consumed-in-SoI(i)</t>
  </si>
  <si>
    <t xml:space="preserve">             / total-consumed-in-SoI(i)</t>
  </si>
  <si>
    <t xml:space="preserve">where:</t>
  </si>
  <si>
    <t xml:space="preserve">  numerator   = rowSums(DomesticUse[i/US-&lt;ST&gt;, j/US-&lt;ST&gt;])</t>
  </si>
  <si>
    <t xml:space="preserve">  denominator = rowSums(Use[i/US-&lt;ST&gt;, j/US-&lt;ST&gt;]) +</t>
  </si>
  <si>
    <t xml:space="preserve">                rowSums(Use[i/RoUS, j/US-&lt;ST&gt;])</t>
  </si>
  <si>
    <t xml:space="preserve">The denominator captures total consumption of commodity i in the</t>
  </si>
  <si>
    <t xml:space="preserve">state from all sources: in-state production, out-of-state US</t>
  </si>
  <si>
    <t xml:space="preserve">production, and international imports (implicit in Use).</t>
  </si>
  <si>
    <t xml:space="preserve">EIA-anchored override (coal, ISIC 05): stateior's pooled trade</t>
  </si>
  <si>
    <t xml:space="preserve">allocation creates fictitious interstate cross-hauling that badly</t>
  </si>
  <si>
    <t xml:space="preserve">mis-states coal domestic content (both directions, e.g. TN 0.565 vs</t>
  </si>
  <si>
    <t xml:space="preserve">~0.04 true; WY 0.627 vs ~1.0). DCS[05] is therefore replaced by the</t>
  </si>
  <si>
    <t xml:space="preserve">physical commodity balance min(production, consumption)/consumption</t>
  </si>
  <si>
    <t xml:space="preserve">(own-use-first) from EIA-7A production + SEDS CLTCP consumption, both</t>
  </si>
  <si>
    <t xml:space="preserve">in short tons of the same vintage. The override value + source appear</t>
  </si>
  <si>
    <t xml:space="preserve">on the 9b_DCS_EIA_override tab and are applied by formula in the final</t>
  </si>
  <si>
    <t xml:space="preserve">DCS column. See notes/energy_dcs_override.md (incl. limitations, e.g.</t>
  </si>
  <si>
    <t xml:space="preserve">met-vs-steam coal mix in AL-type states).</t>
  </si>
  <si>
    <t xml:space="preserve">Values are fractions in [0, 1]. Unchanged from output; no deflator.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</si>
  <si>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</si>
  <si>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</si>
  <si>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</si>
  <si>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</si>
  <si>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</si>
  <si>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</si>
  <si>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</si>
  <si>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</si>
  <si>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</si>
  <si>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</si>
  <si>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</si>
  <si>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</si>
  <si>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</si>
  <si>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</si>
  <si>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</si>
  <si>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</si>
  <si>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</si>
  <si>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</si>
  <si>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</si>
  <si>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</si>
  <si>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</si>
  <si>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</si>
  <si>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</si>
  <si>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</si>
  <si>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</si>
  <si>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</si>
  <si>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</si>
  <si>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</si>
  <si>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</si>
  <si>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</si>
  <si>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</si>
  <si>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</si>
  <si>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</si>
  <si>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</si>
  <si>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</si>
  <si>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</si>
  <si>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</si>
  <si>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</si>
  <si>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</si>
  <si>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</si>
  <si>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</si>
  <si>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</si>
  <si>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</si>
  <si>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</si>
  <si>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</si>
  <si>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</si>
  <si>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</si>
  <si>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</si>
  <si>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</si>
  <si>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</si>
  <si>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</si>
  <si>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Both outputs are FORMULA-DERIVED from the per-BEA intermediate tabs:</t>
  </si>
  <si>
    <t xml:space="preserve">aggregate to 42 ISIC via the Crosswalk tab, ratio with the Keys epsilon</t>
  </si>
  <si>
    <t xml:space="preserve">floor, clamp to [0,1]. Edit an intermediate cell and they recompute.</t>
  </si>
  <si>
    <t xml:space="preserve">Note: the four per-BEA intermediates (tabs 1-4) are pipeline VALUES -</t>
  </si>
  <si>
    <t xml:space="preserve">they row-sum the TWO-REGION Use/DomesticUse tables (SoI + RoUS blocks),</t>
  </si>
  <si>
    <t xml:space="preserve">but only the SoI blocks are embedded here, so they cannot be reproduced</t>
  </si>
  <si>
    <t xml:space="preserve">in-sheet. The Src_ Use tabs are context/provenance. 9_Output_by_ISIC is</t>
  </si>
  <si>
    <t xml:space="preserve">also a pipeline value (= BObIC output row: 2012 USD, incl. OCS</t>
  </si>
  <si>
    <t xml:space="preserve">attribution for LA/TX/AL/MS).</t>
  </si>
  <si>
    <t xml:space="preserve">Tabs:</t>
  </si>
  <si>
    <t xml:space="preserve">  - About / Keys</t>
  </si>
  <si>
    <t xml:space="preserve">  - 1_DCS_numerator_by_BEA / 2_DCS_denominator_by_BEA (pipeline values)</t>
  </si>
  <si>
    <t xml:space="preserve">  - 3_ESoP_RoUS_exports_by_BEA / 4_ESoP_intl_exports_by_BEA (pipeline values)</t>
  </si>
  <si>
    <t xml:space="preserve">  - 5_Exp_total_by_BEA = tab3 + tab4 (formulas)</t>
  </si>
  <si>
    <t xml:space="preserve">  - Src_Stateior_SoI_DomUse / _TotUse (context)</t>
  </si>
  <si>
    <t xml:space="preserve">  - Crosswalk / splits / NAICS key</t>
  </si>
  <si>
    <t xml:space="preserve">  - 6/7_Calc_* - crosswalk-aggregate DCS num + den (nominal; units cancel)</t>
  </si>
  <si>
    <t xml:space="preserve">  - 8_Calc_Exp_ISIC - aggregate exports AND deflate to 2012 USD, so the</t>
  </si>
  <si>
    <t xml:space="preserve">    ESoP ratio is unit-consistent with its denominator</t>
  </si>
  <si>
    <t xml:space="preserve">  - 9_Output_by_ISIC - ESoP denominator (pipeline value, 2012 USD; matches BObIC.csv)</t>
  </si>
  <si>
    <t xml:space="preserve">  - 9b_DCS_overrides / 9c_ESoP_overrides - EIA-anchored energy balances</t>
  </si>
  <si>
    <t xml:space="preserve">    (coal 05, oil&amp;gas 06) + the 36T39 physical-locality assumption</t>
  </si>
  <si>
    <t xml:space="preserve">    (DCS=1, ESoP=0); each row carries its source/rationale</t>
  </si>
  <si>
    <t xml:space="preserve">  - 10_Calc_DCS_ratio / 11_Calc_ESoP_ratio - ratio + epsilon floor + clamp;</t>
  </si>
  <si>
    <t xml:space="preserve">    final columns apply the overrides where present</t>
  </si>
  <si>
    <t xml:space="preserve">  - BDCSoCbIC / BESoP - final fraction rows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</si>
  <si>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</si>
  <si>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</si>
  <si>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</si>
  <si>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</si>
  <si>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</si>
  <si>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</si>
  <si>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</si>
  <si>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</si>
  <si>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</si>
  <si>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</si>
  <si>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</si>
  <si>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</si>
  <si>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</si>
  <si>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</si>
  <si>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</si>
  <si>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</si>
  <si>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SoI_supply_to_SoI_USD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</si>
  <si>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</si>
  <si>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</si>
  <si>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</si>
  <si>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</si>
  <si>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</si>
  <si>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</si>
  <si>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</si>
  <si>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</si>
  <si>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</si>
  <si>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</si>
  <si>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</si>
  <si>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</si>
  <si>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</si>
  <si>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</si>
  <si>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</si>
  <si>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</si>
  <si>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</si>
  <si>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</si>
  <si>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</si>
  <si>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</si>
  <si>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</si>
  <si>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</si>
  <si>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</si>
  <si>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</si>
  <si>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</si>
  <si>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</si>
  <si>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</si>
  <si>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</si>
  <si>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</si>
  <si>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</si>
  <si>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</si>
  <si>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</si>
  <si>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</si>
  <si>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</si>
  <si>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</si>
  <si>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</si>
  <si>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</si>
  <si>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</si>
  <si>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</si>
  <si>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</si>
  <si>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</si>
  <si>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</si>
  <si>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</si>
  <si>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</si>
  <si>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</si>
  <si>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</si>
  <si>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</si>
  <si>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</si>
  <si>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</si>
  <si>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</si>
  <si>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</si>
  <si>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</si>
  <si>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</si>
  <si>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</si>
  <si>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</si>
  <si>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</si>
  <si>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</si>
  <si>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</si>
  <si>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</si>
  <si>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</si>
  <si>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</si>
  <si>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</si>
  <si>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</si>
  <si>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</si>
  <si>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</si>
  <si>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</si>
  <si>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</si>
  <si>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</si>
  <si>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</si>
  <si>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</si>
  <si>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</si>
  <si>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</si>
  <si>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</si>
  <si>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total_supply_in_SoI_USD</t>
  </si>
  <si>
    <t xml:space="preserve">exports_to_RoUS_USD</t>
  </si>
  <si>
    <t xml:space="preserve">exports_intl_USD</t>
  </si>
  <si>
    <t xml:space="preserve">exports_total_USD (= RoUS + intl)</t>
  </si>
  <si>
    <t xml:space="preserve">State-of-Interest Domestic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</si>
  <si>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</si>
  <si>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</si>
  <si>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</si>
  <si>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</si>
  <si>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</si>
  <si>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</si>
  <si>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</si>
  <si>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</si>
  <si>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</si>
  <si>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</si>
  <si>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</si>
  <si>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</si>
  <si>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</si>
  <si>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</si>
  <si>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</si>
  <si>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</si>
  <si>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</si>
  <si>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</si>
  <si>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</si>
  <si>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</si>
  <si>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</si>
  <si>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</si>
  <si>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</si>
  <si>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</si>
  <si>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</si>
  <si>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</si>
  <si>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State-of-Interest Total Use matrix at BEA Summary resolution, from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</si>
  <si>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</si>
  <si>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</si>
  <si>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</si>
  <si>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MN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</si>
  <si>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</si>
  <si>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</si>
  <si>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</si>
  <si>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</si>
  <si>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</si>
  <si>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</si>
  <si>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</si>
  <si>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</si>
  <si>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</si>
  <si>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</si>
  <si>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</si>
  <si>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</si>
  <si>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</si>
  <si>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</si>
  <si>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</si>
  <si>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</si>
  <si>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</si>
  <si>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</si>
  <si>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</si>
  <si>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</si>
  <si>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</si>
  <si>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</si>
  <si>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</si>
  <si>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</si>
  <si>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</si>
  <si>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</si>
  <si>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</si>
  <si>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</si>
  <si>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</si>
  <si>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</si>
  <si>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</si>
  <si>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</si>
  <si>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</si>
  <si>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</si>
  <si>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</si>
  <si>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</si>
  <si>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</si>
  <si>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</si>
  <si>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</si>
  <si>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</si>
  <si>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</si>
  <si>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</si>
  <si>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</si>
  <si>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</si>
  <si>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</si>
  <si>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</si>
  <si>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</si>
  <si>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</si>
  <si>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</si>
  <si>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</si>
  <si>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</si>
  <si>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</si>
  <si>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</si>
  <si>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</si>
  <si>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</si>
  <si>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</si>
  <si>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</si>
  <si>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</si>
  <si>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</si>
  <si>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</si>
  <si>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</si>
  <si>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</si>
  <si>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</si>
  <si>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</si>
  <si>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</si>
  <si>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</si>
  <si>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</si>
  <si>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</si>
  <si>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</si>
  <si>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</si>
  <si>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</si>
  <si>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</si>
  <si>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</si>
  <si>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</si>
  <si>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</si>
  <si>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</si>
  <si>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</si>
  <si>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</si>
  <si>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</si>
  <si>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</si>
  <si>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</si>
  <si>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</si>
  <si>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</si>
  <si>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</si>
  <si>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</si>
  <si>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</si>
  <si>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</si>
  <si>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</si>
  <si>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</si>
  <si>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</si>
  <si>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</si>
  <si>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</si>
  <si>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</si>
  <si>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</si>
  <si>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</si>
  <si>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</si>
  <si>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</si>
  <si>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</si>
  <si>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MN.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</si>
  <si>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</si>
  <si>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</si>
  <si>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</si>
  <si>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</si>
  <si>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</si>
  <si>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</si>
  <si>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</si>
  <si>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</si>
  <si>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</si>
  <si>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</si>
  <si>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</si>
  <si>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</si>
  <si>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</si>
  <si>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</si>
  <si>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</si>
  <si>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</si>
  <si>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</si>
  <si>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</si>
  <si>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</si>
  <si>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</si>
  <si>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</si>
  <si>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</si>
  <si>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</si>
  <si>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</si>
  <si>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</si>
  <si>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</si>
  <si>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</si>
  <si>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</si>
  <si>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</si>
  <si>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</si>
  <si>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</si>
  <si>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</si>
  <si>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</si>
  <si>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</si>
  <si>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</si>
  <si>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</si>
  <si>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</si>
  <si>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</si>
  <si>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</si>
  <si>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</si>
  <si>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</si>
  <si>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</si>
  <si>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</si>
  <si>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</si>
  <si>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</si>
  <si>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</si>
  <si>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</si>
  <si>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</si>
  <si>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</si>
  <si>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</si>
  <si>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</si>
  <si>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</si>
  <si>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</si>
  <si>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</si>
  <si>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</si>
  <si>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</si>
  <si>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</si>
  <si>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</si>
  <si>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</si>
  <si>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</si>
  <si>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</si>
  <si>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</si>
  <si>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</si>
  <si>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</si>
  <si>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</si>
  <si>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</si>
  <si>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</si>
  <si>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</si>
  <si>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</si>
  <si>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</si>
  <si>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</si>
  <si>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</si>
  <si>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</si>
  <si>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</si>
  <si>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</si>
  <si>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</si>
  <si>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</si>
  <si>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</si>
  <si>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</si>
  <si>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</si>
  <si>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</si>
  <si>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</si>
  <si>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</si>
  <si>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</si>
  <si>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</si>
  <si>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</si>
  <si>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</si>
  <si>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</si>
  <si>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</si>
  <si>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</si>
  <si>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</si>
  <si>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</si>
  <si>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</si>
  <si>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</si>
  <si>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</si>
  <si>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</si>
  <si>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</si>
  <si>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</si>
  <si>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</si>
  <si>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</si>
  <si>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</si>
  <si>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</si>
  <si>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</si>
  <si>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</si>
  <si>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</si>
  <si>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</si>
  <si>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</si>
  <si>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</si>
  <si>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</si>
  <si>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</si>
  <si>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</si>
  <si>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</si>
  <si>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</si>
  <si>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</si>
  <si>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</si>
  <si>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</si>
  <si>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</si>
  <si>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</si>
  <si>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</si>
  <si>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</si>
  <si>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</si>
  <si>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</si>
  <si>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</si>
  <si>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</si>
  <si>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</si>
  <si>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</si>
  <si>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</si>
  <si>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</si>
  <si>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</si>
  <si>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</si>
  <si>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</si>
  <si>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</si>
  <si>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</si>
  <si>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</si>
  <si>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</si>
  <si>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</si>
  <si>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</si>
  <si>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</si>
  <si>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</si>
  <si>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</si>
  <si>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</si>
  <si>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</si>
  <si>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</si>
  <si>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</si>
  <si>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</si>
  <si>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</si>
  <si>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</si>
  <si>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</si>
  <si>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</si>
  <si>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</si>
  <si>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</si>
  <si>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</si>
  <si>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</si>
  <si>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</si>
  <si>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</si>
  <si>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2021 $5124M [nonfuel partial total] -&gt; coal share 0.000 (applied to stateior 212 $3808M)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</si>
  <si>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</si>
  <si>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</si>
  <si>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</si>
  <si>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</si>
  <si>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</si>
  <si>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</si>
  <si>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</si>
  <si>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</si>
  <si>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</si>
  <si>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</si>
  <si>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</si>
  <si>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</si>
  <si>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</si>
  <si>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</si>
  <si>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</si>
  <si>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</si>
  <si>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</si>
  <si>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</si>
  <si>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MN.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</si>
  <si>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</si>
  <si>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</si>
  <si>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</si>
  <si>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</si>
  <si>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</si>
  <si>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</si>
  <si>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</si>
  <si>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</si>
  <si>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</si>
  <si>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</si>
  <si>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</si>
  <si>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</si>
  <si>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</si>
  <si>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</si>
  <si>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</si>
  <si>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</si>
  <si>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</si>
  <si>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</si>
  <si>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</si>
  <si>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</si>
  <si>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</si>
  <si>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</si>
  <si>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</si>
  <si>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</si>
  <si>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</si>
  <si>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</si>
  <si>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</si>
  <si>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</si>
  <si>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</si>
  <si>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</si>
  <si>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</si>
  <si>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</si>
  <si>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</si>
  <si>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</si>
  <si>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</si>
  <si>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</si>
  <si>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</si>
  <si>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</si>
  <si>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</si>
  <si>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</si>
  <si>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</si>
  <si>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</si>
  <si>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</si>
  <si>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</si>
  <si>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</si>
  <si>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</si>
  <si>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</si>
  <si>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</si>
  <si>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</si>
  <si>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</si>
  <si>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</si>
  <si>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</si>
  <si>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</si>
  <si>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</si>
  <si>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</si>
  <si>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</si>
  <si>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</si>
  <si>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</si>
  <si>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</si>
  <si>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</si>
  <si>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</si>
  <si>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</si>
  <si>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</si>
  <si>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</si>
  <si>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</si>
  <si>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</si>
  <si>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</si>
  <si>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</si>
  <si>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</si>
  <si>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</si>
  <si>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</si>
  <si>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</si>
  <si>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</si>
  <si>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</si>
  <si>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</si>
  <si>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</si>
  <si>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</si>
  <si>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</si>
  <si>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</si>
  <si>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</si>
  <si>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</si>
  <si>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</si>
  <si>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</si>
  <si>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</si>
  <si>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</si>
  <si>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</si>
  <si>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</si>
  <si>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</si>
  <si>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STEP 2 - aggregate weighted values to 42 ISIC, then deflate to 2012 USD (Keys!$C$2)</t>
  </si>
  <si>
    <t xml:space="preserve">value_2012USD</t>
  </si>
  <si>
    <t xml:space="preserve">output_USD_2012 (pipeline value; matches BObIC.csv; ESoP denominator)</t>
  </si>
  <si>
    <t xml:space="preserve">dcs_override</t>
  </si>
  <si>
    <t xml:space="preserve">EIA own-use-first balance: min(prod 0.0Mt, cons 11.6Mt)/cons [eia7a_coal_production_2019.csv + seds_coal_consumption_2019.csv]</t>
  </si>
  <si>
    <t xml:space="preserve">EIA energy-weighted balance: crude min(prod 0, runs 143)MMbbl=0.00 (w 61%), gas min(prod 0.00, cons 0.52)Tcf=0.00 (w 39%) [eia_og_balance_2019.csv]</t>
  </si>
  <si>
    <t xml:space="preserve">EIA SEDS balance: 1 - max(net inflow 12799, 0)/consumption 66966 GWh (ELISP+ELNIP vs ESTCP) [seds_electricity_2019.csv]</t>
  </si>
  <si>
    <t xml:space="preserve">Physical-locality assumption (staff decision 2026-07-16): local-infrastructure service; no federal interstate service-trade data exists</t>
  </si>
  <si>
    <t xml:space="preserve">esop_override</t>
  </si>
  <si>
    <t xml:space="preserve">Physical-locality assumption (staff decision 2026-07-16): local-infrastructure service; no exports</t>
  </si>
  <si>
    <t xml:space="preserve">EIA SEDS balance: max(net outflow 0, 0)/(consumption 66966 + net outflow) GWh (ELISP+ELNIP vs ESTCP) [seds_electricity_2019.csv]</t>
  </si>
  <si>
    <t xml:space="preserve">DCS per ISIC = SoI-supplied / total consumption, den floored by Keys epsilon, clamped to [0,1]; final column applies overrides where present</t>
  </si>
  <si>
    <t xml:space="preserve">numerator</t>
  </si>
  <si>
    <t xml:space="preserve">denominator</t>
  </si>
  <si>
    <t xml:space="preserve">ratio (den floored by Keys epsilon)</t>
  </si>
  <si>
    <t xml:space="preserve">clamped_0_to_1</t>
  </si>
  <si>
    <t xml:space="preserve">final (override where present, else computed)</t>
  </si>
  <si>
    <t xml:space="preserve">ESoP per ISIC = (RoUS + intl exports) / output, den floored by Keys epsilon, clamped to [0,1]; final column applies overrides where present</t>
  </si>
  <si>
    <t xml:space="preserve">Unit: dimensionless (%)</t>
  </si>
  <si>
    <t xml:space="preserve">Percent of Consumption that is Domestic Content</t>
  </si>
  <si>
    <t xml:space="preserve">Export Share of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</si>
</sst>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1</v>
      </c>
    </row>
    <row r="35">
      <c r="A35" t="s">
        <v>4</v>
      </c>
    </row>
    <row r="36">
      <c r="A36" t="s">
        <v>27</v>
      </c>
    </row>
    <row r="37">
      <c r="A37" t="s">
        <v>4</v>
      </c>
    </row>
    <row r="38">
      <c r="A38" t="s">
        <v>28</v>
      </c>
    </row>
    <row r="39">
      <c r="A39" t="s">
        <v>29</v>
      </c>
    </row>
    <row r="40">
      <c r="A40" t="s">
        <v>1</v>
      </c>
    </row>
    <row r="41">
      <c r="A41" t="s">
        <v>30</v>
      </c>
    </row>
    <row r="42">
      <c r="A42" t="s">
        <v>31</v>
      </c>
    </row>
    <row r="43">
      <c r="A43" t="s">
        <v>32</v>
      </c>
    </row>
    <row r="44">
      <c r="A44" t="s">
        <v>33</v>
      </c>
    </row>
    <row r="45">
      <c r="A45" t="s">
        <v>34</v>
      </c>
    </row>
    <row r="46">
      <c r="A46" t="s">
        <v>35</v>
      </c>
    </row>
    <row r="47">
      <c r="A47" t="s">
        <v>36</v>
      </c>
    </row>
    <row r="48">
      <c r="A48" t="s">
        <v>37</v>
      </c>
    </row>
    <row r="49">
      <c r="A49" t="s">
        <v>38</v>
      </c>
    </row>
    <row r="50">
      <c r="A50" t="s">
        <v>39</v>
      </c>
    </row>
    <row r="51">
      <c r="A51" t="s">
        <v>40</v>
      </c>
    </row>
    <row r="52">
      <c r="A52" t="s">
        <v>1</v>
      </c>
    </row>
    <row r="53">
      <c r="A53" t="s">
        <v>41</v>
      </c>
    </row>
    <row r="54">
      <c r="A54" t="s">
        <v>42</v>
      </c>
    </row>
    <row r="55">
      <c r="A55" t="s">
        <v>1</v>
      </c>
    </row>
    <row r="56">
      <c r="A56" t="s">
        <v>4</v>
      </c>
    </row>
    <row r="57">
      <c r="A57" t="s">
        <v>43</v>
      </c>
    </row>
    <row r="58">
      <c r="A58" t="s">
        <v>4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71</v>
      </c>
    </row>
    <row r="96">
      <c r="A96" t="s">
        <v>72</v>
      </c>
    </row>
    <row r="97">
      <c r="A97" t="s">
        <v>73</v>
      </c>
    </row>
    <row r="98">
      <c r="A98" t="s">
        <v>1</v>
      </c>
    </row>
    <row r="99">
      <c r="A99" t="s">
        <v>74</v>
      </c>
    </row>
    <row r="100">
      <c r="A100" t="s">
        <v>75</v>
      </c>
    </row>
    <row r="101">
      <c r="A101" t="s">
        <v>76</v>
      </c>
    </row>
    <row r="102">
      <c r="A102" t="s">
        <v>1</v>
      </c>
    </row>
    <row r="103">
      <c r="A103" t="s">
        <v>4</v>
      </c>
    </row>
    <row r="104">
      <c r="A104" t="s">
        <v>77</v>
      </c>
    </row>
    <row r="105">
      <c r="A105" t="s">
        <v>4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1</v>
      </c>
    </row>
    <row r="110">
      <c r="A110" t="s">
        <v>81</v>
      </c>
    </row>
    <row r="111">
      <c r="A111" t="s">
        <v>82</v>
      </c>
    </row>
    <row r="112">
      <c r="A112" t="s">
        <v>83</v>
      </c>
    </row>
    <row r="113">
      <c r="A113" t="s">
        <v>84</v>
      </c>
    </row>
    <row r="114">
      <c r="A114" t="s">
        <v>85</v>
      </c>
    </row>
    <row r="115">
      <c r="A115" t="s">
        <v>86</v>
      </c>
    </row>
    <row r="116">
      <c r="A116" t="s">
        <v>1</v>
      </c>
    </row>
    <row r="117">
      <c r="A117" t="s">
        <v>87</v>
      </c>
    </row>
    <row r="118">
      <c r="A118" t="s">
        <v>88</v>
      </c>
    </row>
    <row r="119">
      <c r="A119" t="s">
        <v>89</v>
      </c>
    </row>
    <row r="120">
      <c r="A120" t="s">
        <v>90</v>
      </c>
    </row>
    <row r="121">
      <c r="A121" t="s">
        <v>91</v>
      </c>
    </row>
    <row r="122">
      <c r="A122" t="s">
        <v>92</v>
      </c>
    </row>
    <row r="123">
      <c r="A123" t="s">
        <v>93</v>
      </c>
    </row>
    <row r="124">
      <c r="A124" t="s">
        <v>94</v>
      </c>
    </row>
    <row r="125">
      <c r="A125" t="s">
        <v>95</v>
      </c>
    </row>
    <row r="126">
      <c r="A126" t="s">
        <v>96</v>
      </c>
    </row>
    <row r="127">
      <c r="A127" t="s">
        <v>97</v>
      </c>
    </row>
    <row r="128">
      <c r="A128" t="s">
        <v>98</v>
      </c>
    </row>
    <row r="129">
      <c r="A129" t="s">
        <v>99</v>
      </c>
    </row>
    <row r="130">
      <c r="A130" t="s">
        <v>100</v>
      </c>
    </row>
    <row r="131">
      <c r="A131" t="s">
        <v>101</v>
      </c>
    </row>
    <row r="132">
      <c r="A132" t="s">
        <v>102</v>
      </c>
    </row>
    <row r="133">
      <c r="A133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104</v>
      </c>
      <c r="B1" t="s">
        <v>105</v>
      </c>
      <c r="C1" t="s">
        <v>106</v>
      </c>
      <c r="D1" t="s">
        <v>107</v>
      </c>
    </row>
    <row r="2">
      <c r="A2" t="s">
        <v>108</v>
      </c>
      <c r="B2" t="s">
        <v>109</v>
      </c>
      <c r="C2" t="n">
        <v>1.12266</v>
      </c>
      <c r="D2" t="s">
        <v>110</v>
      </c>
    </row>
    <row r="3">
      <c r="A3" t="s">
        <v>111</v>
      </c>
      <c r="B3" t="s">
        <v>112</v>
      </c>
      <c r="C3" t="n">
        <v>2019</v>
      </c>
      <c r="D3" t="s">
        <v>113</v>
      </c>
    </row>
    <row r="4">
      <c r="A4" t="s">
        <v>114</v>
      </c>
      <c r="B4" t="s">
        <v>115</v>
      </c>
      <c r="C4" t="n">
        <v>0.000000001</v>
      </c>
      <c r="D4" t="s">
        <v>116</v>
      </c>
    </row>
    <row r="5">
      <c r="A5" t="s">
        <v>114</v>
      </c>
      <c r="B5" t="s">
        <v>117</v>
      </c>
      <c r="C5" t="n">
        <v>1</v>
      </c>
      <c r="D5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120</v>
      </c>
    </row>
    <row r="2">
      <c r="A2" t="s">
        <v>121</v>
      </c>
      <c r="B2" t="n">
        <v>4081872800.06016</v>
      </c>
    </row>
    <row r="3">
      <c r="A3" t="s">
        <v>122</v>
      </c>
      <c r="B3" t="n">
        <v>654048437.285165</v>
      </c>
    </row>
    <row r="4">
      <c r="A4" t="s">
        <v>123</v>
      </c>
      <c r="B4" t="n">
        <v>0</v>
      </c>
    </row>
    <row r="5">
      <c r="A5" t="s">
        <v>124</v>
      </c>
      <c r="B5" t="n">
        <v>825679314.115811</v>
      </c>
    </row>
    <row r="6">
      <c r="A6" t="s">
        <v>125</v>
      </c>
      <c r="B6" t="n">
        <v>30334853.0163985</v>
      </c>
    </row>
    <row r="7">
      <c r="A7" t="s">
        <v>126</v>
      </c>
      <c r="B7" t="n">
        <v>1592365304.87307</v>
      </c>
    </row>
    <row r="8">
      <c r="A8" t="s">
        <v>127</v>
      </c>
      <c r="B8" t="n">
        <v>4961375877.05726</v>
      </c>
    </row>
    <row r="9">
      <c r="A9" t="s">
        <v>128</v>
      </c>
      <c r="B9" t="n">
        <v>1375573592.16354</v>
      </c>
    </row>
    <row r="10">
      <c r="A10" t="s">
        <v>129</v>
      </c>
      <c r="B10" t="n">
        <v>1370944553.10927</v>
      </c>
    </row>
    <row r="11">
      <c r="A11" t="s">
        <v>130</v>
      </c>
      <c r="B11" t="n">
        <v>2037035434.07458</v>
      </c>
    </row>
    <row r="12">
      <c r="A12" t="s">
        <v>131</v>
      </c>
      <c r="B12" t="n">
        <v>2632186113.85371</v>
      </c>
    </row>
    <row r="13">
      <c r="A13" t="s">
        <v>132</v>
      </c>
      <c r="B13" t="n">
        <v>948513870.174233</v>
      </c>
    </row>
    <row r="14">
      <c r="A14" t="s">
        <v>133</v>
      </c>
      <c r="B14" t="n">
        <v>767938760.864259</v>
      </c>
    </row>
    <row r="15">
      <c r="A15" t="s">
        <v>134</v>
      </c>
      <c r="B15" t="n">
        <v>444208674.214346</v>
      </c>
    </row>
    <row r="16">
      <c r="A16" t="s">
        <v>135</v>
      </c>
      <c r="B16" t="n">
        <v>761457791.723411</v>
      </c>
    </row>
    <row r="17">
      <c r="A17" t="s">
        <v>136</v>
      </c>
      <c r="B17" t="n">
        <v>230843953.891169</v>
      </c>
    </row>
    <row r="18">
      <c r="A18" t="s">
        <v>137</v>
      </c>
      <c r="B18" t="n">
        <v>275100175.283609</v>
      </c>
    </row>
    <row r="19">
      <c r="A19" t="s">
        <v>138</v>
      </c>
      <c r="B19" t="n">
        <v>600897032.473106</v>
      </c>
    </row>
    <row r="20">
      <c r="A20" t="s">
        <v>139</v>
      </c>
      <c r="B20" t="n">
        <v>3763199392.71781</v>
      </c>
    </row>
    <row r="21">
      <c r="A21" t="s">
        <v>140</v>
      </c>
      <c r="B21" t="n">
        <v>95019584.7859433</v>
      </c>
    </row>
    <row r="22">
      <c r="A22" t="s">
        <v>141</v>
      </c>
      <c r="B22" t="n">
        <v>14759317.3176498</v>
      </c>
    </row>
    <row r="23">
      <c r="A23" t="s">
        <v>142</v>
      </c>
      <c r="B23" t="n">
        <v>1799078136.40116</v>
      </c>
    </row>
    <row r="24">
      <c r="A24" t="s">
        <v>143</v>
      </c>
      <c r="B24" t="n">
        <v>942938591.73622</v>
      </c>
    </row>
    <row r="25">
      <c r="A25" t="s">
        <v>144</v>
      </c>
      <c r="B25" t="n">
        <v>4009034452.27709</v>
      </c>
    </row>
    <row r="26">
      <c r="A26" t="s">
        <v>145</v>
      </c>
      <c r="B26" t="n">
        <v>3746894125.83861</v>
      </c>
    </row>
    <row r="27">
      <c r="A27" t="s">
        <v>146</v>
      </c>
      <c r="B27" t="n">
        <v>1638523880.64433</v>
      </c>
    </row>
    <row r="28">
      <c r="A28" t="s">
        <v>147</v>
      </c>
      <c r="B28" t="n">
        <v>4816726746.49809</v>
      </c>
    </row>
    <row r="29">
      <c r="A29" t="s">
        <v>148</v>
      </c>
      <c r="B29" t="n">
        <v>408424475.296893</v>
      </c>
    </row>
    <row r="30">
      <c r="A30" t="s">
        <v>149</v>
      </c>
      <c r="B30" t="n">
        <v>41286787.7946304</v>
      </c>
    </row>
    <row r="31">
      <c r="A31" t="s">
        <v>150</v>
      </c>
      <c r="B31" t="n">
        <v>2158417.7059389</v>
      </c>
    </row>
    <row r="32">
      <c r="A32" t="s">
        <v>151</v>
      </c>
      <c r="B32" t="n">
        <v>2308707520.33462</v>
      </c>
    </row>
    <row r="33">
      <c r="A33" t="s">
        <v>152</v>
      </c>
      <c r="B33" t="n">
        <v>632375949.288326</v>
      </c>
    </row>
    <row r="34">
      <c r="A34" t="s">
        <v>153</v>
      </c>
      <c r="B34" t="n">
        <v>865253875.400595</v>
      </c>
    </row>
    <row r="35">
      <c r="A35" t="s">
        <v>154</v>
      </c>
      <c r="B35" t="n">
        <v>134414367.003815</v>
      </c>
    </row>
    <row r="36">
      <c r="A36" t="s">
        <v>155</v>
      </c>
      <c r="B36" t="n">
        <v>2387538743.97937</v>
      </c>
    </row>
    <row r="37">
      <c r="A37" t="s">
        <v>156</v>
      </c>
      <c r="B37" t="n">
        <v>1152505988.7913</v>
      </c>
    </row>
    <row r="38">
      <c r="A38" t="s">
        <v>157</v>
      </c>
      <c r="B38" t="n">
        <v>161189220.819167</v>
      </c>
    </row>
    <row r="39">
      <c r="A39" t="s">
        <v>158</v>
      </c>
      <c r="B39" t="n">
        <v>4958825493.88468</v>
      </c>
    </row>
    <row r="40">
      <c r="A40" t="s">
        <v>159</v>
      </c>
      <c r="B40" t="n">
        <v>1277845008.18738</v>
      </c>
    </row>
    <row r="41">
      <c r="A41" t="s">
        <v>160</v>
      </c>
      <c r="B41" t="n">
        <v>584088233.256188</v>
      </c>
    </row>
    <row r="42">
      <c r="A42" t="s">
        <v>161</v>
      </c>
      <c r="B42" t="n">
        <v>115820779.110441</v>
      </c>
    </row>
    <row r="43">
      <c r="A43" t="s">
        <v>162</v>
      </c>
      <c r="B43" t="n">
        <v>3503569209.94212</v>
      </c>
    </row>
    <row r="44">
      <c r="A44" t="s">
        <v>163</v>
      </c>
      <c r="B44" t="n">
        <v>2371567767.57853</v>
      </c>
    </row>
    <row r="45">
      <c r="A45" t="s">
        <v>164</v>
      </c>
      <c r="B45" t="n">
        <v>2436775364.8401</v>
      </c>
    </row>
    <row r="46">
      <c r="A46" t="s">
        <v>165</v>
      </c>
      <c r="B46" t="n">
        <v>4588727309.82639</v>
      </c>
    </row>
    <row r="47">
      <c r="A47" t="s">
        <v>166</v>
      </c>
      <c r="B47" t="n">
        <v>2417604467.84894</v>
      </c>
    </row>
    <row r="48">
      <c r="A48" t="s">
        <v>167</v>
      </c>
      <c r="B48" t="n">
        <v>359394041.673458</v>
      </c>
    </row>
    <row r="49">
      <c r="A49" t="s">
        <v>168</v>
      </c>
      <c r="B49" t="n">
        <v>0</v>
      </c>
    </row>
    <row r="50">
      <c r="A50" t="s">
        <v>169</v>
      </c>
      <c r="B50" t="n">
        <v>22304629105.1669</v>
      </c>
    </row>
    <row r="51">
      <c r="A51" t="s">
        <v>170</v>
      </c>
      <c r="B51" t="n">
        <v>1780508694.80963</v>
      </c>
    </row>
    <row r="52">
      <c r="A52" t="s">
        <v>171</v>
      </c>
      <c r="B52" t="n">
        <v>2836314808.98774</v>
      </c>
    </row>
    <row r="53">
      <c r="A53" t="s">
        <v>172</v>
      </c>
      <c r="B53" t="n">
        <v>2965870219.48474</v>
      </c>
    </row>
    <row r="54">
      <c r="A54" t="s">
        <v>173</v>
      </c>
      <c r="B54" t="n">
        <v>4331880260.80561</v>
      </c>
    </row>
    <row r="55">
      <c r="A55" t="s">
        <v>174</v>
      </c>
      <c r="B55" t="n">
        <v>8610222548.07394</v>
      </c>
    </row>
    <row r="56">
      <c r="A56" t="s">
        <v>175</v>
      </c>
      <c r="B56" t="n">
        <v>8617232316.60027</v>
      </c>
    </row>
    <row r="57">
      <c r="A57" t="s">
        <v>176</v>
      </c>
      <c r="B57" t="n">
        <v>496167418.766347</v>
      </c>
    </row>
    <row r="58">
      <c r="A58" t="s">
        <v>177</v>
      </c>
      <c r="B58" t="n">
        <v>102401898.320321</v>
      </c>
    </row>
    <row r="59">
      <c r="A59" t="s">
        <v>178</v>
      </c>
      <c r="B59" t="n">
        <v>830592259.414299</v>
      </c>
    </row>
    <row r="60">
      <c r="A60" t="s">
        <v>179</v>
      </c>
      <c r="B60" t="n">
        <v>20951676.8513368</v>
      </c>
    </row>
    <row r="61">
      <c r="A61" t="s">
        <v>180</v>
      </c>
      <c r="B61" t="n">
        <v>40775218.7810614</v>
      </c>
    </row>
    <row r="62">
      <c r="A62" t="s">
        <v>181</v>
      </c>
      <c r="B62" t="n">
        <v>0</v>
      </c>
    </row>
    <row r="63">
      <c r="A63" t="s">
        <v>182</v>
      </c>
      <c r="B63" t="n">
        <v>1206621527.80855</v>
      </c>
    </row>
    <row r="64">
      <c r="A64" t="s">
        <v>183</v>
      </c>
      <c r="B64" t="n">
        <v>46499181.4905184</v>
      </c>
    </row>
    <row r="65">
      <c r="A65" t="s">
        <v>184</v>
      </c>
      <c r="B65" t="n">
        <v>911284375.367824</v>
      </c>
    </row>
    <row r="66">
      <c r="A66" t="s">
        <v>185</v>
      </c>
      <c r="B66" t="n">
        <v>4151869242.37854</v>
      </c>
    </row>
    <row r="67">
      <c r="A67" t="s">
        <v>186</v>
      </c>
      <c r="B67" t="n">
        <v>4363052583.1654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252031125.374433</v>
      </c>
    </row>
    <row r="71">
      <c r="A71" t="s">
        <v>190</v>
      </c>
      <c r="B71" t="n">
        <v>0</v>
      </c>
    </row>
    <row r="72">
      <c r="A72" t="s">
        <v>191</v>
      </c>
      <c r="B72" t="n">
        <v>603953417.464505</v>
      </c>
    </row>
    <row r="73">
      <c r="A73" t="s">
        <v>192</v>
      </c>
      <c r="B73" t="n">
        <v>939873842.58076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194</v>
      </c>
    </row>
    <row r="2">
      <c r="A2" t="s">
        <v>121</v>
      </c>
      <c r="B2" t="n">
        <v>7168180382.24805</v>
      </c>
    </row>
    <row r="3">
      <c r="A3" t="s">
        <v>122</v>
      </c>
      <c r="B3" t="n">
        <v>1628770386.16525</v>
      </c>
    </row>
    <row r="4">
      <c r="A4" t="s">
        <v>123</v>
      </c>
      <c r="B4" t="n">
        <v>5678380088.15926</v>
      </c>
    </row>
    <row r="5">
      <c r="A5" t="s">
        <v>124</v>
      </c>
      <c r="B5" t="n">
        <v>1310775427.24892</v>
      </c>
    </row>
    <row r="6">
      <c r="A6" t="s">
        <v>125</v>
      </c>
      <c r="B6" t="n">
        <v>45974021.378133</v>
      </c>
    </row>
    <row r="7">
      <c r="A7" t="s">
        <v>126</v>
      </c>
      <c r="B7" t="n">
        <v>6647587042.19055</v>
      </c>
    </row>
    <row r="8">
      <c r="A8" t="s">
        <v>127</v>
      </c>
      <c r="B8" t="n">
        <v>4961375877.05726</v>
      </c>
    </row>
    <row r="9">
      <c r="A9" t="s">
        <v>128</v>
      </c>
      <c r="B9" t="n">
        <v>2591581323.00108</v>
      </c>
    </row>
    <row r="10">
      <c r="A10" t="s">
        <v>129</v>
      </c>
      <c r="B10" t="n">
        <v>2543408671.90831</v>
      </c>
    </row>
    <row r="11">
      <c r="A11" t="s">
        <v>130</v>
      </c>
      <c r="B11" t="n">
        <v>5686010394.33964</v>
      </c>
    </row>
    <row r="12">
      <c r="A12" t="s">
        <v>131</v>
      </c>
      <c r="B12" t="n">
        <v>7027565023.93485</v>
      </c>
    </row>
    <row r="13">
      <c r="A13" t="s">
        <v>132</v>
      </c>
      <c r="B13" t="n">
        <v>3320461557.77826</v>
      </c>
    </row>
    <row r="14">
      <c r="A14" t="s">
        <v>133</v>
      </c>
      <c r="B14" t="n">
        <v>4119263420.13233</v>
      </c>
    </row>
    <row r="15">
      <c r="A15" t="s">
        <v>134</v>
      </c>
      <c r="B15" t="n">
        <v>2271874509.74953</v>
      </c>
    </row>
    <row r="16">
      <c r="A16" t="s">
        <v>135</v>
      </c>
      <c r="B16" t="n">
        <v>3429430614.66004</v>
      </c>
    </row>
    <row r="17">
      <c r="A17" t="s">
        <v>136</v>
      </c>
      <c r="B17" t="n">
        <v>950694861.553501</v>
      </c>
    </row>
    <row r="18">
      <c r="A18" t="s">
        <v>137</v>
      </c>
      <c r="B18" t="n">
        <v>604536210.615628</v>
      </c>
    </row>
    <row r="19">
      <c r="A19" t="s">
        <v>138</v>
      </c>
      <c r="B19" t="n">
        <v>1730124275.60737</v>
      </c>
    </row>
    <row r="20">
      <c r="A20" t="s">
        <v>139</v>
      </c>
      <c r="B20" t="n">
        <v>7799376752.27742</v>
      </c>
    </row>
    <row r="21">
      <c r="A21" t="s">
        <v>140</v>
      </c>
      <c r="B21" t="n">
        <v>912881070.078136</v>
      </c>
    </row>
    <row r="22">
      <c r="A22" t="s">
        <v>141</v>
      </c>
      <c r="B22" t="n">
        <v>334251723.458107</v>
      </c>
    </row>
    <row r="23">
      <c r="A23" t="s">
        <v>142</v>
      </c>
      <c r="B23" t="n">
        <v>3836508428.54881</v>
      </c>
    </row>
    <row r="24">
      <c r="A24" t="s">
        <v>143</v>
      </c>
      <c r="B24" t="n">
        <v>1189024040.99647</v>
      </c>
    </row>
    <row r="25">
      <c r="A25" t="s">
        <v>144</v>
      </c>
      <c r="B25" t="n">
        <v>6579434352.28528</v>
      </c>
    </row>
    <row r="26">
      <c r="A26" t="s">
        <v>145</v>
      </c>
      <c r="B26" t="n">
        <v>9162871868.93318</v>
      </c>
    </row>
    <row r="27">
      <c r="A27" t="s">
        <v>146</v>
      </c>
      <c r="B27" t="n">
        <v>4565563105.80119</v>
      </c>
    </row>
    <row r="28">
      <c r="A28" t="s">
        <v>147</v>
      </c>
      <c r="B28" t="n">
        <v>18378869049.4514</v>
      </c>
    </row>
    <row r="29">
      <c r="A29" t="s">
        <v>148</v>
      </c>
      <c r="B29" t="n">
        <v>408424475.296893</v>
      </c>
    </row>
    <row r="30">
      <c r="A30" t="s">
        <v>149</v>
      </c>
      <c r="B30" t="n">
        <v>41286787.7946304</v>
      </c>
    </row>
    <row r="31">
      <c r="A31" t="s">
        <v>150</v>
      </c>
      <c r="B31" t="n">
        <v>102166985.540909</v>
      </c>
    </row>
    <row r="32">
      <c r="A32" t="s">
        <v>151</v>
      </c>
      <c r="B32" t="n">
        <v>2396640794.03443</v>
      </c>
    </row>
    <row r="33">
      <c r="A33" t="s">
        <v>152</v>
      </c>
      <c r="B33" t="n">
        <v>1694421163.08381</v>
      </c>
    </row>
    <row r="34">
      <c r="A34" t="s">
        <v>153</v>
      </c>
      <c r="B34" t="n">
        <v>1045679843.2933</v>
      </c>
    </row>
    <row r="35">
      <c r="A35" t="s">
        <v>154</v>
      </c>
      <c r="B35" t="n">
        <v>189021771.287993</v>
      </c>
    </row>
    <row r="36">
      <c r="A36" t="s">
        <v>155</v>
      </c>
      <c r="B36" t="n">
        <v>4035892872.19333</v>
      </c>
    </row>
    <row r="37">
      <c r="A37" t="s">
        <v>156</v>
      </c>
      <c r="B37" t="n">
        <v>1152505988.7913</v>
      </c>
    </row>
    <row r="38">
      <c r="A38" t="s">
        <v>157</v>
      </c>
      <c r="B38" t="n">
        <v>733493559.983483</v>
      </c>
    </row>
    <row r="39">
      <c r="A39" t="s">
        <v>158</v>
      </c>
      <c r="B39" t="n">
        <v>4959495032.58498</v>
      </c>
    </row>
    <row r="40">
      <c r="A40" t="s">
        <v>159</v>
      </c>
      <c r="B40" t="n">
        <v>2523881526.76017</v>
      </c>
    </row>
    <row r="41">
      <c r="A41" t="s">
        <v>160</v>
      </c>
      <c r="B41" t="n">
        <v>1324938912.70434</v>
      </c>
    </row>
    <row r="42">
      <c r="A42" t="s">
        <v>161</v>
      </c>
      <c r="B42" t="n">
        <v>842674298.650116</v>
      </c>
    </row>
    <row r="43">
      <c r="A43" t="s">
        <v>162</v>
      </c>
      <c r="B43" t="n">
        <v>5341538814.42575</v>
      </c>
    </row>
    <row r="44">
      <c r="A44" t="s">
        <v>163</v>
      </c>
      <c r="B44" t="n">
        <v>4187976237.39639</v>
      </c>
    </row>
    <row r="45">
      <c r="A45" t="s">
        <v>164</v>
      </c>
      <c r="B45" t="n">
        <v>12421363147.7375</v>
      </c>
    </row>
    <row r="46">
      <c r="A46" t="s">
        <v>165</v>
      </c>
      <c r="B46" t="n">
        <v>6937773242.88828</v>
      </c>
    </row>
    <row r="47">
      <c r="A47" t="s">
        <v>166</v>
      </c>
      <c r="B47" t="n">
        <v>14959771911.0446</v>
      </c>
    </row>
    <row r="48">
      <c r="A48" t="s">
        <v>167</v>
      </c>
      <c r="B48" t="n">
        <v>442208259.620788</v>
      </c>
    </row>
    <row r="49">
      <c r="A49" t="s">
        <v>168</v>
      </c>
      <c r="B49" t="n">
        <v>0</v>
      </c>
    </row>
    <row r="50">
      <c r="A50" t="s">
        <v>169</v>
      </c>
      <c r="B50" t="n">
        <v>22304629105.1669</v>
      </c>
    </row>
    <row r="51">
      <c r="A51" t="s">
        <v>170</v>
      </c>
      <c r="B51" t="n">
        <v>5635536647.67652</v>
      </c>
    </row>
    <row r="52">
      <c r="A52" t="s">
        <v>171</v>
      </c>
      <c r="B52" t="n">
        <v>4338341996.13952</v>
      </c>
    </row>
    <row r="53">
      <c r="A53" t="s">
        <v>172</v>
      </c>
      <c r="B53" t="n">
        <v>4003158449.19462</v>
      </c>
    </row>
    <row r="54">
      <c r="A54" t="s">
        <v>173</v>
      </c>
      <c r="B54" t="n">
        <v>23485790516.4057</v>
      </c>
    </row>
    <row r="55">
      <c r="A55" t="s">
        <v>174</v>
      </c>
      <c r="B55" t="n">
        <v>10569943790.7739</v>
      </c>
    </row>
    <row r="56">
      <c r="A56" t="s">
        <v>175</v>
      </c>
      <c r="B56" t="n">
        <v>15631496180.4184</v>
      </c>
    </row>
    <row r="57">
      <c r="A57" t="s">
        <v>176</v>
      </c>
      <c r="B57" t="n">
        <v>1692689184.86029</v>
      </c>
    </row>
    <row r="58">
      <c r="A58" t="s">
        <v>177</v>
      </c>
      <c r="B58" t="n">
        <v>380759327.884794</v>
      </c>
    </row>
    <row r="59">
      <c r="A59" t="s">
        <v>178</v>
      </c>
      <c r="B59" t="n">
        <v>830716834.874562</v>
      </c>
    </row>
    <row r="60">
      <c r="A60" t="s">
        <v>179</v>
      </c>
      <c r="B60" t="n">
        <v>20951676.8513368</v>
      </c>
    </row>
    <row r="61">
      <c r="A61" t="s">
        <v>180</v>
      </c>
      <c r="B61" t="n">
        <v>40784575.4060386</v>
      </c>
    </row>
    <row r="62">
      <c r="A62" t="s">
        <v>181</v>
      </c>
      <c r="B62" t="n">
        <v>0</v>
      </c>
    </row>
    <row r="63">
      <c r="A63" t="s">
        <v>182</v>
      </c>
      <c r="B63" t="n">
        <v>1509981204.48997</v>
      </c>
    </row>
    <row r="64">
      <c r="A64" t="s">
        <v>183</v>
      </c>
      <c r="B64" t="n">
        <v>139172562.019427</v>
      </c>
    </row>
    <row r="65">
      <c r="A65" t="s">
        <v>184</v>
      </c>
      <c r="B65" t="n">
        <v>1259161597.62418</v>
      </c>
    </row>
    <row r="66">
      <c r="A66" t="s">
        <v>185</v>
      </c>
      <c r="B66" t="n">
        <v>4151869242.37854</v>
      </c>
    </row>
    <row r="67">
      <c r="A67" t="s">
        <v>186</v>
      </c>
      <c r="B67" t="n">
        <v>4775453771.86533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1165153191.95394</v>
      </c>
    </row>
    <row r="71">
      <c r="A71" t="s">
        <v>190</v>
      </c>
      <c r="B71" t="n">
        <v>0</v>
      </c>
    </row>
    <row r="72">
      <c r="A72" t="s">
        <v>191</v>
      </c>
      <c r="B72" t="n">
        <v>603953417.464505</v>
      </c>
    </row>
    <row r="73">
      <c r="A73" t="s">
        <v>192</v>
      </c>
      <c r="B73" t="n">
        <v>1057723172.28647</v>
      </c>
    </row>
    <row r="74">
      <c r="A74" t="s">
        <v>193</v>
      </c>
      <c r="B74" t="n">
        <v>2404760382.22272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195</v>
      </c>
    </row>
    <row r="2">
      <c r="A2" t="s">
        <v>121</v>
      </c>
      <c r="B2" t="n">
        <v>6665662323.0045</v>
      </c>
    </row>
    <row r="3">
      <c r="A3" t="s">
        <v>122</v>
      </c>
      <c r="B3" t="n">
        <v>14539968.8882184</v>
      </c>
    </row>
    <row r="4">
      <c r="A4" t="s">
        <v>123</v>
      </c>
      <c r="B4" t="n">
        <v>31125550.5522838</v>
      </c>
    </row>
    <row r="5">
      <c r="A5" t="s">
        <v>124</v>
      </c>
      <c r="B5" t="n">
        <v>1688371453.41256</v>
      </c>
    </row>
    <row r="6">
      <c r="A6" t="s">
        <v>125</v>
      </c>
      <c r="B6" t="n">
        <v>12782.5326207001</v>
      </c>
    </row>
    <row r="7">
      <c r="A7" t="s">
        <v>126</v>
      </c>
      <c r="B7" t="n">
        <v>7420067509.47252</v>
      </c>
    </row>
    <row r="8">
      <c r="A8" t="s">
        <v>127</v>
      </c>
      <c r="B8" t="n">
        <v>0</v>
      </c>
    </row>
    <row r="9">
      <c r="A9" t="s">
        <v>128</v>
      </c>
      <c r="B9" t="n">
        <v>2333625418.31729</v>
      </c>
    </row>
    <row r="10">
      <c r="A10" t="s">
        <v>129</v>
      </c>
      <c r="B10" t="n">
        <v>892044919.722979</v>
      </c>
    </row>
    <row r="11">
      <c r="A11" t="s">
        <v>130</v>
      </c>
      <c r="B11" t="n">
        <v>895224289.547433</v>
      </c>
    </row>
    <row r="12">
      <c r="A12" t="s">
        <v>131</v>
      </c>
      <c r="B12" t="n">
        <v>6824213806.15178</v>
      </c>
    </row>
    <row r="13">
      <c r="A13" t="s">
        <v>132</v>
      </c>
      <c r="B13" t="n">
        <v>4842863356.83516</v>
      </c>
    </row>
    <row r="14">
      <c r="A14" t="s">
        <v>133</v>
      </c>
      <c r="B14" t="n">
        <v>6396091047.93993</v>
      </c>
    </row>
    <row r="15">
      <c r="A15" t="s">
        <v>134</v>
      </c>
      <c r="B15" t="n">
        <v>1226212540.1322</v>
      </c>
    </row>
    <row r="16">
      <c r="A16" t="s">
        <v>135</v>
      </c>
      <c r="B16" t="n">
        <v>899314367.184296</v>
      </c>
    </row>
    <row r="17">
      <c r="A17" t="s">
        <v>136</v>
      </c>
      <c r="B17" t="n">
        <v>1025713380.132</v>
      </c>
    </row>
    <row r="18">
      <c r="A18" t="s">
        <v>137</v>
      </c>
      <c r="B18" t="n">
        <v>1127460155.78952</v>
      </c>
    </row>
    <row r="19">
      <c r="A19" t="s">
        <v>138</v>
      </c>
      <c r="B19" t="n">
        <v>4640434476.1931</v>
      </c>
    </row>
    <row r="20">
      <c r="A20" t="s">
        <v>139</v>
      </c>
      <c r="B20" t="n">
        <v>10296845330.7286</v>
      </c>
    </row>
    <row r="21">
      <c r="A21" t="s">
        <v>140</v>
      </c>
      <c r="B21" t="n">
        <v>163545343.764811</v>
      </c>
    </row>
    <row r="22">
      <c r="A22" t="s">
        <v>141</v>
      </c>
      <c r="B22" t="n">
        <v>165887219.723658</v>
      </c>
    </row>
    <row r="23">
      <c r="A23" t="s">
        <v>142</v>
      </c>
      <c r="B23" t="n">
        <v>2183223573.26837</v>
      </c>
    </row>
    <row r="24">
      <c r="A24" t="s">
        <v>143</v>
      </c>
      <c r="B24" t="n">
        <v>2668886270.58423</v>
      </c>
    </row>
    <row r="25">
      <c r="A25" t="s">
        <v>144</v>
      </c>
      <c r="B25" t="n">
        <v>3447763431.38395</v>
      </c>
    </row>
    <row r="26">
      <c r="A26" t="s">
        <v>145</v>
      </c>
      <c r="B26" t="n">
        <v>497890033.467327</v>
      </c>
    </row>
    <row r="27">
      <c r="A27" t="s">
        <v>146</v>
      </c>
      <c r="B27" t="n">
        <v>2701620540.52938</v>
      </c>
    </row>
    <row r="28">
      <c r="A28" t="s">
        <v>147</v>
      </c>
      <c r="B28" t="n">
        <v>31967460915.9525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4943987212.11506</v>
      </c>
    </row>
    <row r="32">
      <c r="A32" t="s">
        <v>151</v>
      </c>
      <c r="B32" t="n">
        <v>624321506.922504</v>
      </c>
    </row>
    <row r="33">
      <c r="A33" t="s">
        <v>152</v>
      </c>
      <c r="B33" t="n">
        <v>3826582012.83661</v>
      </c>
    </row>
    <row r="34">
      <c r="A34" t="s">
        <v>153</v>
      </c>
      <c r="B34" t="n">
        <v>845417057.484719</v>
      </c>
    </row>
    <row r="35">
      <c r="A35" t="s">
        <v>154</v>
      </c>
      <c r="B35" t="n">
        <v>181612514.506706</v>
      </c>
    </row>
    <row r="36">
      <c r="A36" t="s">
        <v>155</v>
      </c>
      <c r="B36" t="n">
        <v>3293863143.7228</v>
      </c>
    </row>
    <row r="37">
      <c r="A37" t="s">
        <v>156</v>
      </c>
      <c r="B37" t="n">
        <v>0</v>
      </c>
    </row>
    <row r="38">
      <c r="A38" t="s">
        <v>157</v>
      </c>
      <c r="B38" t="n">
        <v>219411432.31706</v>
      </c>
    </row>
    <row r="39">
      <c r="A39" t="s">
        <v>158</v>
      </c>
      <c r="B39" t="n">
        <v>0</v>
      </c>
    </row>
    <row r="40">
      <c r="A40" t="s">
        <v>159</v>
      </c>
      <c r="B40" t="n">
        <v>252571962.779226</v>
      </c>
    </row>
    <row r="41">
      <c r="A41" t="s">
        <v>160</v>
      </c>
      <c r="B41" t="n">
        <v>4088577952.05369</v>
      </c>
    </row>
    <row r="42">
      <c r="A42" t="s">
        <v>161</v>
      </c>
      <c r="B42" t="n">
        <v>316719678.527995</v>
      </c>
    </row>
    <row r="43">
      <c r="A43" t="s">
        <v>162</v>
      </c>
      <c r="B43" t="n">
        <v>47657167.6712263</v>
      </c>
    </row>
    <row r="44">
      <c r="A44" t="s">
        <v>163</v>
      </c>
      <c r="B44" t="n">
        <v>6289955.03645712</v>
      </c>
    </row>
    <row r="45">
      <c r="A45" t="s">
        <v>164</v>
      </c>
      <c r="B45" t="n">
        <v>15170705361.0769</v>
      </c>
    </row>
    <row r="46">
      <c r="A46" t="s">
        <v>165</v>
      </c>
      <c r="B46" t="n">
        <v>21727092.2542017</v>
      </c>
    </row>
    <row r="47">
      <c r="A47" t="s">
        <v>166</v>
      </c>
      <c r="B47" t="n">
        <v>22316262660.3385</v>
      </c>
    </row>
    <row r="48">
      <c r="A48" t="s">
        <v>167</v>
      </c>
      <c r="B48" t="n">
        <v>2812741772.82177</v>
      </c>
    </row>
    <row r="49">
      <c r="A49" t="s">
        <v>168</v>
      </c>
      <c r="B49" t="n">
        <v>0</v>
      </c>
    </row>
    <row r="50">
      <c r="A50" t="s">
        <v>169</v>
      </c>
      <c r="B50" t="n">
        <v>0</v>
      </c>
    </row>
    <row r="51">
      <c r="A51" t="s">
        <v>170</v>
      </c>
      <c r="B51" t="n">
        <v>1153423134.70369</v>
      </c>
    </row>
    <row r="52">
      <c r="A52" t="s">
        <v>171</v>
      </c>
      <c r="B52" t="n">
        <v>685585485.199795</v>
      </c>
    </row>
    <row r="53">
      <c r="A53" t="s">
        <v>172</v>
      </c>
      <c r="B53" t="n">
        <v>1990801553.8831</v>
      </c>
    </row>
    <row r="54">
      <c r="A54" t="s">
        <v>173</v>
      </c>
      <c r="B54" t="n">
        <v>26015517580.8842</v>
      </c>
    </row>
    <row r="55">
      <c r="A55" t="s">
        <v>174</v>
      </c>
      <c r="B55" t="n">
        <v>14008610771.452</v>
      </c>
    </row>
    <row r="56">
      <c r="A56" t="s">
        <v>175</v>
      </c>
      <c r="B56" t="n">
        <v>5188787311.40977</v>
      </c>
    </row>
    <row r="57">
      <c r="A57" t="s">
        <v>176</v>
      </c>
      <c r="B57" t="n">
        <v>1873371809.75947</v>
      </c>
    </row>
    <row r="58">
      <c r="A58" t="s">
        <v>177</v>
      </c>
      <c r="B58" t="n">
        <v>4225551337.76469</v>
      </c>
    </row>
    <row r="59">
      <c r="A59" t="s">
        <v>178</v>
      </c>
      <c r="B59" t="n">
        <v>0</v>
      </c>
    </row>
    <row r="60">
      <c r="A60" t="s">
        <v>179</v>
      </c>
      <c r="B60" t="n">
        <v>0</v>
      </c>
    </row>
    <row r="61">
      <c r="A61" t="s">
        <v>180</v>
      </c>
      <c r="B61" t="n">
        <v>0</v>
      </c>
    </row>
    <row r="62">
      <c r="A62" t="s">
        <v>181</v>
      </c>
      <c r="B62" t="n">
        <v>0</v>
      </c>
    </row>
    <row r="63">
      <c r="A63" t="s">
        <v>182</v>
      </c>
      <c r="B63" t="n">
        <v>443863624.161794</v>
      </c>
    </row>
    <row r="64">
      <c r="A64" t="s">
        <v>183</v>
      </c>
      <c r="B64" t="n">
        <v>2097711040.80415</v>
      </c>
    </row>
    <row r="65">
      <c r="A65" t="s">
        <v>184</v>
      </c>
      <c r="B65" t="n">
        <v>7597578.01815787</v>
      </c>
    </row>
    <row r="66">
      <c r="A66" t="s">
        <v>185</v>
      </c>
      <c r="B66" t="n">
        <v>0</v>
      </c>
    </row>
    <row r="67">
      <c r="A67" t="s">
        <v>186</v>
      </c>
      <c r="B67" t="n">
        <v>151105759.086052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328805973.107208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0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196</v>
      </c>
    </row>
    <row r="2">
      <c r="A2" t="s">
        <v>121</v>
      </c>
      <c r="B2" t="n">
        <v>320195031.450677</v>
      </c>
    </row>
    <row r="3">
      <c r="A3" t="s">
        <v>122</v>
      </c>
      <c r="B3" t="n">
        <v>31475611.7739881</v>
      </c>
    </row>
    <row r="4">
      <c r="A4" t="s">
        <v>123</v>
      </c>
      <c r="B4" t="n">
        <v>12665155.612236</v>
      </c>
    </row>
    <row r="5">
      <c r="A5" t="s">
        <v>124</v>
      </c>
      <c r="B5" t="n">
        <v>616351455.589052</v>
      </c>
    </row>
    <row r="6">
      <c r="A6" t="s">
        <v>125</v>
      </c>
      <c r="B6" t="n">
        <v>13538325.9685758</v>
      </c>
    </row>
    <row r="7">
      <c r="A7" t="s">
        <v>126</v>
      </c>
      <c r="B7" t="n">
        <v>66600550.4457988</v>
      </c>
    </row>
    <row r="8">
      <c r="A8" t="s">
        <v>127</v>
      </c>
      <c r="B8" t="n">
        <v>2003653.71450194</v>
      </c>
    </row>
    <row r="9">
      <c r="A9" t="s">
        <v>128</v>
      </c>
      <c r="B9" t="n">
        <v>31713270.6510289</v>
      </c>
    </row>
    <row r="10">
      <c r="A10" t="s">
        <v>129</v>
      </c>
      <c r="B10" t="n">
        <v>369635913.55486</v>
      </c>
    </row>
    <row r="11">
      <c r="A11" t="s">
        <v>130</v>
      </c>
      <c r="B11" t="n">
        <v>123922243.370537</v>
      </c>
    </row>
    <row r="12">
      <c r="A12" t="s">
        <v>131</v>
      </c>
      <c r="B12" t="n">
        <v>573060270.323644</v>
      </c>
    </row>
    <row r="13">
      <c r="A13" t="s">
        <v>132</v>
      </c>
      <c r="B13" t="n">
        <v>2691699874.38424</v>
      </c>
    </row>
    <row r="14">
      <c r="A14" t="s">
        <v>133</v>
      </c>
      <c r="B14" t="n">
        <v>1922844792.73454</v>
      </c>
    </row>
    <row r="15">
      <c r="A15" t="s">
        <v>134</v>
      </c>
      <c r="B15" t="n">
        <v>648468828.413654</v>
      </c>
    </row>
    <row r="16">
      <c r="A16" t="s">
        <v>135</v>
      </c>
      <c r="B16" t="n">
        <v>814475137.746985</v>
      </c>
    </row>
    <row r="17">
      <c r="A17" t="s">
        <v>136</v>
      </c>
      <c r="B17" t="n">
        <v>777653536.698293</v>
      </c>
    </row>
    <row r="18">
      <c r="A18" t="s">
        <v>137</v>
      </c>
      <c r="B18" t="n">
        <v>68414381.6188695</v>
      </c>
    </row>
    <row r="19">
      <c r="A19" t="s">
        <v>138</v>
      </c>
      <c r="B19" t="n">
        <v>1214656924.06423</v>
      </c>
    </row>
    <row r="20">
      <c r="A20" t="s">
        <v>139</v>
      </c>
      <c r="B20" t="n">
        <v>1578499270.47667</v>
      </c>
    </row>
    <row r="21">
      <c r="A21" t="s">
        <v>140</v>
      </c>
      <c r="B21" t="n">
        <v>149287454.214955</v>
      </c>
    </row>
    <row r="22">
      <c r="A22" t="s">
        <v>141</v>
      </c>
      <c r="B22" t="n">
        <v>46268117.9864909</v>
      </c>
    </row>
    <row r="23">
      <c r="A23" t="s">
        <v>142</v>
      </c>
      <c r="B23" t="n">
        <v>768394546.596804</v>
      </c>
    </row>
    <row r="24">
      <c r="A24" t="s">
        <v>143</v>
      </c>
      <c r="B24" t="n">
        <v>54343922.577959</v>
      </c>
    </row>
    <row r="25">
      <c r="A25" t="s">
        <v>144</v>
      </c>
      <c r="B25" t="n">
        <v>346227588.232157</v>
      </c>
    </row>
    <row r="26">
      <c r="A26" t="s">
        <v>145</v>
      </c>
      <c r="B26" t="n">
        <v>1499312873.55667</v>
      </c>
    </row>
    <row r="27">
      <c r="A27" t="s">
        <v>146</v>
      </c>
      <c r="B27" t="n">
        <v>563066258.34113</v>
      </c>
    </row>
    <row r="28">
      <c r="A28" t="s">
        <v>147</v>
      </c>
      <c r="B28" t="n">
        <v>4509322834.31727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0</v>
      </c>
    </row>
    <row r="32">
      <c r="A32" t="s">
        <v>151</v>
      </c>
      <c r="B32" t="n">
        <v>0</v>
      </c>
    </row>
    <row r="33">
      <c r="A33" t="s">
        <v>152</v>
      </c>
      <c r="B33" t="n">
        <v>1156479215.36308</v>
      </c>
    </row>
    <row r="34">
      <c r="A34" t="s">
        <v>153</v>
      </c>
      <c r="B34" t="n">
        <v>341295796.119746</v>
      </c>
    </row>
    <row r="35">
      <c r="A35" t="s">
        <v>154</v>
      </c>
      <c r="B35" t="n">
        <v>96451220.4821361</v>
      </c>
    </row>
    <row r="36">
      <c r="A36" t="s">
        <v>155</v>
      </c>
      <c r="B36" t="n">
        <v>672460567.739074</v>
      </c>
    </row>
    <row r="37">
      <c r="A37" t="s">
        <v>156</v>
      </c>
      <c r="B37" t="n">
        <v>0</v>
      </c>
    </row>
    <row r="38">
      <c r="A38" t="s">
        <v>157</v>
      </c>
      <c r="B38" t="n">
        <v>67153048.5202029</v>
      </c>
    </row>
    <row r="39">
      <c r="A39" t="s">
        <v>158</v>
      </c>
      <c r="B39" t="n">
        <v>146778487.6672</v>
      </c>
    </row>
    <row r="40">
      <c r="A40" t="s">
        <v>159</v>
      </c>
      <c r="B40" t="n">
        <v>1857065.89582351</v>
      </c>
    </row>
    <row r="41">
      <c r="A41" t="s">
        <v>160</v>
      </c>
      <c r="B41" t="n">
        <v>779729939.465234</v>
      </c>
    </row>
    <row r="42">
      <c r="A42" t="s">
        <v>161</v>
      </c>
      <c r="B42" t="n">
        <v>73165728.4665448</v>
      </c>
    </row>
    <row r="43">
      <c r="A43" t="s">
        <v>162</v>
      </c>
      <c r="B43" t="n">
        <v>122622197.616629</v>
      </c>
    </row>
    <row r="44">
      <c r="A44" t="s">
        <v>163</v>
      </c>
      <c r="B44" t="n">
        <v>65111660.0560457</v>
      </c>
    </row>
    <row r="45">
      <c r="A45" t="s">
        <v>164</v>
      </c>
      <c r="B45" t="n">
        <v>1347651818.31148</v>
      </c>
    </row>
    <row r="46">
      <c r="A46" t="s">
        <v>165</v>
      </c>
      <c r="B46" t="n">
        <v>1048188474.22909</v>
      </c>
    </row>
    <row r="47">
      <c r="A47" t="s">
        <v>166</v>
      </c>
      <c r="B47" t="n">
        <v>450332663.255803</v>
      </c>
    </row>
    <row r="48">
      <c r="A48" t="s">
        <v>167</v>
      </c>
      <c r="B48" t="n">
        <v>0</v>
      </c>
    </row>
    <row r="49">
      <c r="A49" t="s">
        <v>168</v>
      </c>
      <c r="B49" t="n">
        <v>0</v>
      </c>
    </row>
    <row r="50">
      <c r="A50" t="s">
        <v>169</v>
      </c>
      <c r="B50" t="n">
        <v>32614255.7508119</v>
      </c>
    </row>
    <row r="51">
      <c r="A51" t="s">
        <v>170</v>
      </c>
      <c r="B51" t="n">
        <v>743678564.864723</v>
      </c>
    </row>
    <row r="52">
      <c r="A52" t="s">
        <v>171</v>
      </c>
      <c r="B52" t="n">
        <v>237062082.355325</v>
      </c>
    </row>
    <row r="53">
      <c r="A53" t="s">
        <v>172</v>
      </c>
      <c r="B53" t="n">
        <v>626391172.832249</v>
      </c>
    </row>
    <row r="54">
      <c r="A54" t="s">
        <v>173</v>
      </c>
      <c r="B54" t="n">
        <v>2608043802.21178</v>
      </c>
    </row>
    <row r="55">
      <c r="A55" t="s">
        <v>174</v>
      </c>
      <c r="B55" t="n">
        <v>165072207.34648</v>
      </c>
    </row>
    <row r="56">
      <c r="A56" t="s">
        <v>175</v>
      </c>
      <c r="B56" t="n">
        <v>44478274.816345</v>
      </c>
    </row>
    <row r="57">
      <c r="A57" t="s">
        <v>176</v>
      </c>
      <c r="B57" t="n">
        <v>4214283.97079804</v>
      </c>
    </row>
    <row r="58">
      <c r="A58" t="s">
        <v>177</v>
      </c>
      <c r="B58" t="n">
        <v>38581575.32788</v>
      </c>
    </row>
    <row r="59">
      <c r="A59" t="s">
        <v>178</v>
      </c>
      <c r="B59" t="n">
        <v>22233233.7032813</v>
      </c>
    </row>
    <row r="60">
      <c r="A60" t="s">
        <v>179</v>
      </c>
      <c r="B60" t="n">
        <v>96476273.2402939</v>
      </c>
    </row>
    <row r="61">
      <c r="A61" t="s">
        <v>180</v>
      </c>
      <c r="B61" t="n">
        <v>8180583.00289462</v>
      </c>
    </row>
    <row r="62">
      <c r="A62" t="s">
        <v>181</v>
      </c>
      <c r="B62" t="n">
        <v>0</v>
      </c>
    </row>
    <row r="63">
      <c r="A63" t="s">
        <v>182</v>
      </c>
      <c r="B63" t="n">
        <v>21509271.958807</v>
      </c>
    </row>
    <row r="64">
      <c r="A64" t="s">
        <v>183</v>
      </c>
      <c r="B64" t="n">
        <v>283331.003719702</v>
      </c>
    </row>
    <row r="65">
      <c r="A65" t="s">
        <v>184</v>
      </c>
      <c r="B65" t="n">
        <v>0</v>
      </c>
    </row>
    <row r="66">
      <c r="A66" t="s">
        <v>185</v>
      </c>
      <c r="B66" t="n">
        <v>42107222.5463813</v>
      </c>
    </row>
    <row r="67">
      <c r="A67" t="s">
        <v>186</v>
      </c>
      <c r="B67" t="n">
        <v>1429013.01518171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7271310.45718565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638335474.764608</v>
      </c>
    </row>
    <row r="74">
      <c r="A74" t="s">
        <v>193</v>
      </c>
      <c r="B74" t="n">
        <v>1938531299.09212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119</v>
      </c>
      <c r="B1" t="s">
        <v>197</v>
      </c>
    </row>
    <row r="2">
      <c r="A2" t="str">
        <f>'3_ESoP_RoUS_exports_by_BEA'!A2</f>
      </c>
      <c r="B2" t="str">
        <f>'3_ESoP_RoUS_exports_by_BEA'!B2+'4_ESoP_intl_exports_by_BEA'!B2</f>
      </c>
    </row>
    <row r="3">
      <c r="A3" t="str">
        <f>'3_ESoP_RoUS_exports_by_BEA'!A3</f>
      </c>
      <c r="B3" t="str">
        <f>'3_ESoP_RoUS_exports_by_BEA'!B3+'4_ESoP_intl_exports_by_BEA'!B3</f>
      </c>
    </row>
    <row r="4">
      <c r="A4" t="str">
        <f>'3_ESoP_RoUS_exports_by_BEA'!A4</f>
      </c>
      <c r="B4" t="str">
        <f>'3_ESoP_RoUS_exports_by_BEA'!B4+'4_ESoP_intl_exports_by_BEA'!B4</f>
      </c>
    </row>
    <row r="5">
      <c r="A5" t="str">
        <f>'3_ESoP_RoUS_exports_by_BEA'!A5</f>
      </c>
      <c r="B5" t="str">
        <f>'3_ESoP_RoUS_exports_by_BEA'!B5+'4_ESoP_intl_exports_by_BEA'!B5</f>
      </c>
    </row>
    <row r="6">
      <c r="A6" t="str">
        <f>'3_ESoP_RoUS_exports_by_BEA'!A6</f>
      </c>
      <c r="B6" t="str">
        <f>'3_ESoP_RoUS_exports_by_BEA'!B6+'4_ESoP_intl_exports_by_BEA'!B6</f>
      </c>
    </row>
    <row r="7">
      <c r="A7" t="str">
        <f>'3_ESoP_RoUS_exports_by_BEA'!A7</f>
      </c>
      <c r="B7" t="str">
        <f>'3_ESoP_RoUS_exports_by_BEA'!B7+'4_ESoP_intl_exports_by_BEA'!B7</f>
      </c>
    </row>
    <row r="8">
      <c r="A8" t="str">
        <f>'3_ESoP_RoUS_exports_by_BEA'!A8</f>
      </c>
      <c r="B8" t="str">
        <f>'3_ESoP_RoUS_exports_by_BEA'!B8+'4_ESoP_intl_exports_by_BEA'!B8</f>
      </c>
    </row>
    <row r="9">
      <c r="A9" t="str">
        <f>'3_ESoP_RoUS_exports_by_BEA'!A9</f>
      </c>
      <c r="B9" t="str">
        <f>'3_ESoP_RoUS_exports_by_BEA'!B9+'4_ESoP_intl_exports_by_BEA'!B9</f>
      </c>
    </row>
    <row r="10">
      <c r="A10" t="str">
        <f>'3_ESoP_RoUS_exports_by_BEA'!A10</f>
      </c>
      <c r="B10" t="str">
        <f>'3_ESoP_RoUS_exports_by_BEA'!B10+'4_ESoP_intl_exports_by_BEA'!B10</f>
      </c>
    </row>
    <row r="11">
      <c r="A11" t="str">
        <f>'3_ESoP_RoUS_exports_by_BEA'!A11</f>
      </c>
      <c r="B11" t="str">
        <f>'3_ESoP_RoUS_exports_by_BEA'!B11+'4_ESoP_intl_exports_by_BEA'!B11</f>
      </c>
    </row>
    <row r="12">
      <c r="A12" t="str">
        <f>'3_ESoP_RoUS_exports_by_BEA'!A12</f>
      </c>
      <c r="B12" t="str">
        <f>'3_ESoP_RoUS_exports_by_BEA'!B12+'4_ESoP_intl_exports_by_BEA'!B12</f>
      </c>
    </row>
    <row r="13">
      <c r="A13" t="str">
        <f>'3_ESoP_RoUS_exports_by_BEA'!A13</f>
      </c>
      <c r="B13" t="str">
        <f>'3_ESoP_RoUS_exports_by_BEA'!B13+'4_ESoP_intl_exports_by_BEA'!B13</f>
      </c>
    </row>
    <row r="14">
      <c r="A14" t="str">
        <f>'3_ESoP_RoUS_exports_by_BEA'!A14</f>
      </c>
      <c r="B14" t="str">
        <f>'3_ESoP_RoUS_exports_by_BEA'!B14+'4_ESoP_intl_exports_by_BEA'!B14</f>
      </c>
    </row>
    <row r="15">
      <c r="A15" t="str">
        <f>'3_ESoP_RoUS_exports_by_BEA'!A15</f>
      </c>
      <c r="B15" t="str">
        <f>'3_ESoP_RoUS_exports_by_BEA'!B15+'4_ESoP_intl_exports_by_BEA'!B15</f>
      </c>
    </row>
    <row r="16">
      <c r="A16" t="str">
        <f>'3_ESoP_RoUS_exports_by_BEA'!A16</f>
      </c>
      <c r="B16" t="str">
        <f>'3_ESoP_RoUS_exports_by_BEA'!B16+'4_ESoP_intl_exports_by_BEA'!B16</f>
      </c>
    </row>
    <row r="17">
      <c r="A17" t="str">
        <f>'3_ESoP_RoUS_exports_by_BEA'!A17</f>
      </c>
      <c r="B17" t="str">
        <f>'3_ESoP_RoUS_exports_by_BEA'!B17+'4_ESoP_intl_exports_by_BEA'!B17</f>
      </c>
    </row>
    <row r="18">
      <c r="A18" t="str">
        <f>'3_ESoP_RoUS_exports_by_BEA'!A18</f>
      </c>
      <c r="B18" t="str">
        <f>'3_ESoP_RoUS_exports_by_BEA'!B18+'4_ESoP_intl_exports_by_BEA'!B18</f>
      </c>
    </row>
    <row r="19">
      <c r="A19" t="str">
        <f>'3_ESoP_RoUS_exports_by_BEA'!A19</f>
      </c>
      <c r="B19" t="str">
        <f>'3_ESoP_RoUS_exports_by_BEA'!B19+'4_ESoP_intl_exports_by_BEA'!B19</f>
      </c>
    </row>
    <row r="20">
      <c r="A20" t="str">
        <f>'3_ESoP_RoUS_exports_by_BEA'!A20</f>
      </c>
      <c r="B20" t="str">
        <f>'3_ESoP_RoUS_exports_by_BEA'!B20+'4_ESoP_intl_exports_by_BEA'!B20</f>
      </c>
    </row>
    <row r="21">
      <c r="A21" t="str">
        <f>'3_ESoP_RoUS_exports_by_BEA'!A21</f>
      </c>
      <c r="B21" t="str">
        <f>'3_ESoP_RoUS_exports_by_BEA'!B21+'4_ESoP_intl_exports_by_BEA'!B21</f>
      </c>
    </row>
    <row r="22">
      <c r="A22" t="str">
        <f>'3_ESoP_RoUS_exports_by_BEA'!A22</f>
      </c>
      <c r="B22" t="str">
        <f>'3_ESoP_RoUS_exports_by_BEA'!B22+'4_ESoP_intl_exports_by_BEA'!B22</f>
      </c>
    </row>
    <row r="23">
      <c r="A23" t="str">
        <f>'3_ESoP_RoUS_exports_by_BEA'!A23</f>
      </c>
      <c r="B23" t="str">
        <f>'3_ESoP_RoUS_exports_by_BEA'!B23+'4_ESoP_intl_exports_by_BEA'!B23</f>
      </c>
    </row>
    <row r="24">
      <c r="A24" t="str">
        <f>'3_ESoP_RoUS_exports_by_BEA'!A24</f>
      </c>
      <c r="B24" t="str">
        <f>'3_ESoP_RoUS_exports_by_BEA'!B24+'4_ESoP_intl_exports_by_BEA'!B24</f>
      </c>
    </row>
    <row r="25">
      <c r="A25" t="str">
        <f>'3_ESoP_RoUS_exports_by_BEA'!A25</f>
      </c>
      <c r="B25" t="str">
        <f>'3_ESoP_RoUS_exports_by_BEA'!B25+'4_ESoP_intl_exports_by_BEA'!B25</f>
      </c>
    </row>
    <row r="26">
      <c r="A26" t="str">
        <f>'3_ESoP_RoUS_exports_by_BEA'!A26</f>
      </c>
      <c r="B26" t="str">
        <f>'3_ESoP_RoUS_exports_by_BEA'!B26+'4_ESoP_intl_exports_by_BEA'!B26</f>
      </c>
    </row>
    <row r="27">
      <c r="A27" t="str">
        <f>'3_ESoP_RoUS_exports_by_BEA'!A27</f>
      </c>
      <c r="B27" t="str">
        <f>'3_ESoP_RoUS_exports_by_BEA'!B27+'4_ESoP_intl_exports_by_BEA'!B27</f>
      </c>
    </row>
    <row r="28">
      <c r="A28" t="str">
        <f>'3_ESoP_RoUS_exports_by_BEA'!A28</f>
      </c>
      <c r="B28" t="str">
        <f>'3_ESoP_RoUS_exports_by_BEA'!B28+'4_ESoP_intl_exports_by_BEA'!B28</f>
      </c>
    </row>
    <row r="29">
      <c r="A29" t="str">
        <f>'3_ESoP_RoUS_exports_by_BEA'!A29</f>
      </c>
      <c r="B29" t="str">
        <f>'3_ESoP_RoUS_exports_by_BEA'!B29+'4_ESoP_intl_exports_by_BEA'!B29</f>
      </c>
    </row>
    <row r="30">
      <c r="A30" t="str">
        <f>'3_ESoP_RoUS_exports_by_BEA'!A30</f>
      </c>
      <c r="B30" t="str">
        <f>'3_ESoP_RoUS_exports_by_BEA'!B30+'4_ESoP_intl_exports_by_BEA'!B30</f>
      </c>
    </row>
    <row r="31">
      <c r="A31" t="str">
        <f>'3_ESoP_RoUS_exports_by_BEA'!A31</f>
      </c>
      <c r="B31" t="str">
        <f>'3_ESoP_RoUS_exports_by_BEA'!B31+'4_ESoP_intl_exports_by_BEA'!B31</f>
      </c>
    </row>
    <row r="32">
      <c r="A32" t="str">
        <f>'3_ESoP_RoUS_exports_by_BEA'!A32</f>
      </c>
      <c r="B32" t="str">
        <f>'3_ESoP_RoUS_exports_by_BEA'!B32+'4_ESoP_intl_exports_by_BEA'!B32</f>
      </c>
    </row>
    <row r="33">
      <c r="A33" t="str">
        <f>'3_ESoP_RoUS_exports_by_BEA'!A33</f>
      </c>
      <c r="B33" t="str">
        <f>'3_ESoP_RoUS_exports_by_BEA'!B33+'4_ESoP_intl_exports_by_BEA'!B33</f>
      </c>
    </row>
    <row r="34">
      <c r="A34" t="str">
        <f>'3_ESoP_RoUS_exports_by_BEA'!A34</f>
      </c>
      <c r="B34" t="str">
        <f>'3_ESoP_RoUS_exports_by_BEA'!B34+'4_ESoP_intl_exports_by_BEA'!B34</f>
      </c>
    </row>
    <row r="35">
      <c r="A35" t="str">
        <f>'3_ESoP_RoUS_exports_by_BEA'!A35</f>
      </c>
      <c r="B35" t="str">
        <f>'3_ESoP_RoUS_exports_by_BEA'!B35+'4_ESoP_intl_exports_by_BEA'!B35</f>
      </c>
    </row>
    <row r="36">
      <c r="A36" t="str">
        <f>'3_ESoP_RoUS_exports_by_BEA'!A36</f>
      </c>
      <c r="B36" t="str">
        <f>'3_ESoP_RoUS_exports_by_BEA'!B36+'4_ESoP_intl_exports_by_BEA'!B36</f>
      </c>
    </row>
    <row r="37">
      <c r="A37" t="str">
        <f>'3_ESoP_RoUS_exports_by_BEA'!A37</f>
      </c>
      <c r="B37" t="str">
        <f>'3_ESoP_RoUS_exports_by_BEA'!B37+'4_ESoP_intl_exports_by_BEA'!B37</f>
      </c>
    </row>
    <row r="38">
      <c r="A38" t="str">
        <f>'3_ESoP_RoUS_exports_by_BEA'!A38</f>
      </c>
      <c r="B38" t="str">
        <f>'3_ESoP_RoUS_exports_by_BEA'!B38+'4_ESoP_intl_exports_by_BEA'!B38</f>
      </c>
    </row>
    <row r="39">
      <c r="A39" t="str">
        <f>'3_ESoP_RoUS_exports_by_BEA'!A39</f>
      </c>
      <c r="B39" t="str">
        <f>'3_ESoP_RoUS_exports_by_BEA'!B39+'4_ESoP_intl_exports_by_BEA'!B39</f>
      </c>
    </row>
    <row r="40">
      <c r="A40" t="str">
        <f>'3_ESoP_RoUS_exports_by_BEA'!A40</f>
      </c>
      <c r="B40" t="str">
        <f>'3_ESoP_RoUS_exports_by_BEA'!B40+'4_ESoP_intl_exports_by_BEA'!B40</f>
      </c>
    </row>
    <row r="41">
      <c r="A41" t="str">
        <f>'3_ESoP_RoUS_exports_by_BEA'!A41</f>
      </c>
      <c r="B41" t="str">
        <f>'3_ESoP_RoUS_exports_by_BEA'!B41+'4_ESoP_intl_exports_by_BEA'!B41</f>
      </c>
    </row>
    <row r="42">
      <c r="A42" t="str">
        <f>'3_ESoP_RoUS_exports_by_BEA'!A42</f>
      </c>
      <c r="B42" t="str">
        <f>'3_ESoP_RoUS_exports_by_BEA'!B42+'4_ESoP_intl_exports_by_BEA'!B42</f>
      </c>
    </row>
    <row r="43">
      <c r="A43" t="str">
        <f>'3_ESoP_RoUS_exports_by_BEA'!A43</f>
      </c>
      <c r="B43" t="str">
        <f>'3_ESoP_RoUS_exports_by_BEA'!B43+'4_ESoP_intl_exports_by_BEA'!B43</f>
      </c>
    </row>
    <row r="44">
      <c r="A44" t="str">
        <f>'3_ESoP_RoUS_exports_by_BEA'!A44</f>
      </c>
      <c r="B44" t="str">
        <f>'3_ESoP_RoUS_exports_by_BEA'!B44+'4_ESoP_intl_exports_by_BEA'!B44</f>
      </c>
    </row>
    <row r="45">
      <c r="A45" t="str">
        <f>'3_ESoP_RoUS_exports_by_BEA'!A45</f>
      </c>
      <c r="B45" t="str">
        <f>'3_ESoP_RoUS_exports_by_BEA'!B45+'4_ESoP_intl_exports_by_BEA'!B45</f>
      </c>
    </row>
    <row r="46">
      <c r="A46" t="str">
        <f>'3_ESoP_RoUS_exports_by_BEA'!A46</f>
      </c>
      <c r="B46" t="str">
        <f>'3_ESoP_RoUS_exports_by_BEA'!B46+'4_ESoP_intl_exports_by_BEA'!B46</f>
      </c>
    </row>
    <row r="47">
      <c r="A47" t="str">
        <f>'3_ESoP_RoUS_exports_by_BEA'!A47</f>
      </c>
      <c r="B47" t="str">
        <f>'3_ESoP_RoUS_exports_by_BEA'!B47+'4_ESoP_intl_exports_by_BEA'!B47</f>
      </c>
    </row>
    <row r="48">
      <c r="A48" t="str">
        <f>'3_ESoP_RoUS_exports_by_BEA'!A48</f>
      </c>
      <c r="B48" t="str">
        <f>'3_ESoP_RoUS_exports_by_BEA'!B48+'4_ESoP_intl_exports_by_BEA'!B48</f>
      </c>
    </row>
    <row r="49">
      <c r="A49" t="str">
        <f>'3_ESoP_RoUS_exports_by_BEA'!A49</f>
      </c>
      <c r="B49" t="str">
        <f>'3_ESoP_RoUS_exports_by_BEA'!B49+'4_ESoP_intl_exports_by_BEA'!B49</f>
      </c>
    </row>
    <row r="50">
      <c r="A50" t="str">
        <f>'3_ESoP_RoUS_exports_by_BEA'!A50</f>
      </c>
      <c r="B50" t="str">
        <f>'3_ESoP_RoUS_exports_by_BEA'!B50+'4_ESoP_intl_exports_by_BEA'!B50</f>
      </c>
    </row>
    <row r="51">
      <c r="A51" t="str">
        <f>'3_ESoP_RoUS_exports_by_BEA'!A51</f>
      </c>
      <c r="B51" t="str">
        <f>'3_ESoP_RoUS_exports_by_BEA'!B51+'4_ESoP_intl_exports_by_BEA'!B51</f>
      </c>
    </row>
    <row r="52">
      <c r="A52" t="str">
        <f>'3_ESoP_RoUS_exports_by_BEA'!A52</f>
      </c>
      <c r="B52" t="str">
        <f>'3_ESoP_RoUS_exports_by_BEA'!B52+'4_ESoP_intl_exports_by_BEA'!B52</f>
      </c>
    </row>
    <row r="53">
      <c r="A53" t="str">
        <f>'3_ESoP_RoUS_exports_by_BEA'!A53</f>
      </c>
      <c r="B53" t="str">
        <f>'3_ESoP_RoUS_exports_by_BEA'!B53+'4_ESoP_intl_exports_by_BEA'!B53</f>
      </c>
    </row>
    <row r="54">
      <c r="A54" t="str">
        <f>'3_ESoP_RoUS_exports_by_BEA'!A54</f>
      </c>
      <c r="B54" t="str">
        <f>'3_ESoP_RoUS_exports_by_BEA'!B54+'4_ESoP_intl_exports_by_BEA'!B54</f>
      </c>
    </row>
    <row r="55">
      <c r="A55" t="str">
        <f>'3_ESoP_RoUS_exports_by_BEA'!A55</f>
      </c>
      <c r="B55" t="str">
        <f>'3_ESoP_RoUS_exports_by_BEA'!B55+'4_ESoP_intl_exports_by_BEA'!B55</f>
      </c>
    </row>
    <row r="56">
      <c r="A56" t="str">
        <f>'3_ESoP_RoUS_exports_by_BEA'!A56</f>
      </c>
      <c r="B56" t="str">
        <f>'3_ESoP_RoUS_exports_by_BEA'!B56+'4_ESoP_intl_exports_by_BEA'!B56</f>
      </c>
    </row>
    <row r="57">
      <c r="A57" t="str">
        <f>'3_ESoP_RoUS_exports_by_BEA'!A57</f>
      </c>
      <c r="B57" t="str">
        <f>'3_ESoP_RoUS_exports_by_BEA'!B57+'4_ESoP_intl_exports_by_BEA'!B57</f>
      </c>
    </row>
    <row r="58">
      <c r="A58" t="str">
        <f>'3_ESoP_RoUS_exports_by_BEA'!A58</f>
      </c>
      <c r="B58" t="str">
        <f>'3_ESoP_RoUS_exports_by_BEA'!B58+'4_ESoP_intl_exports_by_BEA'!B58</f>
      </c>
    </row>
    <row r="59">
      <c r="A59" t="str">
        <f>'3_ESoP_RoUS_exports_by_BEA'!A59</f>
      </c>
      <c r="B59" t="str">
        <f>'3_ESoP_RoUS_exports_by_BEA'!B59+'4_ESoP_intl_exports_by_BEA'!B59</f>
      </c>
    </row>
    <row r="60">
      <c r="A60" t="str">
        <f>'3_ESoP_RoUS_exports_by_BEA'!A60</f>
      </c>
      <c r="B60" t="str">
        <f>'3_ESoP_RoUS_exports_by_BEA'!B60+'4_ESoP_intl_exports_by_BEA'!B60</f>
      </c>
    </row>
    <row r="61">
      <c r="A61" t="str">
        <f>'3_ESoP_RoUS_exports_by_BEA'!A61</f>
      </c>
      <c r="B61" t="str">
        <f>'3_ESoP_RoUS_exports_by_BEA'!B61+'4_ESoP_intl_exports_by_BEA'!B61</f>
      </c>
    </row>
    <row r="62">
      <c r="A62" t="str">
        <f>'3_ESoP_RoUS_exports_by_BEA'!A62</f>
      </c>
      <c r="B62" t="str">
        <f>'3_ESoP_RoUS_exports_by_BEA'!B62+'4_ESoP_intl_exports_by_BEA'!B62</f>
      </c>
    </row>
    <row r="63">
      <c r="A63" t="str">
        <f>'3_ESoP_RoUS_exports_by_BEA'!A63</f>
      </c>
      <c r="B63" t="str">
        <f>'3_ESoP_RoUS_exports_by_BEA'!B63+'4_ESoP_intl_exports_by_BEA'!B63</f>
      </c>
    </row>
    <row r="64">
      <c r="A64" t="str">
        <f>'3_ESoP_RoUS_exports_by_BEA'!A64</f>
      </c>
      <c r="B64" t="str">
        <f>'3_ESoP_RoUS_exports_by_BEA'!B64+'4_ESoP_intl_exports_by_BEA'!B64</f>
      </c>
    </row>
    <row r="65">
      <c r="A65" t="str">
        <f>'3_ESoP_RoUS_exports_by_BEA'!A65</f>
      </c>
      <c r="B65" t="str">
        <f>'3_ESoP_RoUS_exports_by_BEA'!B65+'4_ESoP_intl_exports_by_BEA'!B65</f>
      </c>
    </row>
    <row r="66">
      <c r="A66" t="str">
        <f>'3_ESoP_RoUS_exports_by_BEA'!A66</f>
      </c>
      <c r="B66" t="str">
        <f>'3_ESoP_RoUS_exports_by_BEA'!B66+'4_ESoP_intl_exports_by_BEA'!B66</f>
      </c>
    </row>
    <row r="67">
      <c r="A67" t="str">
        <f>'3_ESoP_RoUS_exports_by_BEA'!A67</f>
      </c>
      <c r="B67" t="str">
        <f>'3_ESoP_RoUS_exports_by_BEA'!B67+'4_ESoP_intl_exports_by_BEA'!B67</f>
      </c>
    </row>
    <row r="68">
      <c r="A68" t="str">
        <f>'3_ESoP_RoUS_exports_by_BEA'!A68</f>
      </c>
      <c r="B68" t="str">
        <f>'3_ESoP_RoUS_exports_by_BEA'!B68+'4_ESoP_intl_exports_by_BEA'!B68</f>
      </c>
    </row>
    <row r="69">
      <c r="A69" t="str">
        <f>'3_ESoP_RoUS_exports_by_BEA'!A69</f>
      </c>
      <c r="B69" t="str">
        <f>'3_ESoP_RoUS_exports_by_BEA'!B69+'4_ESoP_intl_exports_by_BEA'!B69</f>
      </c>
    </row>
    <row r="70">
      <c r="A70" t="str">
        <f>'3_ESoP_RoUS_exports_by_BEA'!A70</f>
      </c>
      <c r="B70" t="str">
        <f>'3_ESoP_RoUS_exports_by_BEA'!B70+'4_ESoP_intl_exports_by_BEA'!B70</f>
      </c>
    </row>
    <row r="71">
      <c r="A71" t="str">
        <f>'3_ESoP_RoUS_exports_by_BEA'!A71</f>
      </c>
      <c r="B71" t="str">
        <f>'3_ESoP_RoUS_exports_by_BEA'!B71+'4_ESoP_intl_exports_by_BEA'!B71</f>
      </c>
    </row>
    <row r="72">
      <c r="A72" t="str">
        <f>'3_ESoP_RoUS_exports_by_BEA'!A72</f>
      </c>
      <c r="B72" t="str">
        <f>'3_ESoP_RoUS_exports_by_BEA'!B72+'4_ESoP_intl_exports_by_BEA'!B72</f>
      </c>
    </row>
    <row r="73">
      <c r="A73" t="str">
        <f>'3_ESoP_RoUS_exports_by_BEA'!A73</f>
      </c>
      <c r="B73" t="str">
        <f>'3_ESoP_RoUS_exports_by_BEA'!B73+'4_ESoP_intl_exports_by_BEA'!B73</f>
      </c>
    </row>
    <row r="74">
      <c r="A74" t="str">
        <f>'3_ESoP_RoUS_exports_by_BEA'!A74</f>
      </c>
      <c r="B74" t="str">
        <f>'3_ESoP_RoUS_exports_by_BEA'!B74+'4_ESoP_intl_exports_by_BEA'!B74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198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1397158354.48879</v>
      </c>
      <c r="C10" t="n">
        <v>1161401.91896801</v>
      </c>
      <c r="D10" t="n">
        <v>0</v>
      </c>
      <c r="E10" t="n">
        <v>455263.625688436</v>
      </c>
      <c r="F10" t="n">
        <v>2021.00643835829</v>
      </c>
      <c r="G10" t="n">
        <v>0</v>
      </c>
      <c r="H10" t="n">
        <v>15961075.0611005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8265499.91526757</v>
      </c>
      <c r="T10" t="n">
        <v>2489685702.02535</v>
      </c>
      <c r="U10" t="n">
        <v>7916426.04515311</v>
      </c>
      <c r="V10" t="n">
        <v>0</v>
      </c>
      <c r="W10" t="n">
        <v>0</v>
      </c>
      <c r="X10" t="n">
        <v>0</v>
      </c>
      <c r="Y10" t="n">
        <v>0</v>
      </c>
      <c r="Z10" t="n">
        <v>61949758.1004042</v>
      </c>
      <c r="AA10" t="n">
        <v>0</v>
      </c>
      <c r="AB10" t="n">
        <v>9349724.12712432</v>
      </c>
      <c r="AC10" t="n">
        <v>5834368.15265806</v>
      </c>
      <c r="AD10" t="n">
        <v>9187265.24211273</v>
      </c>
      <c r="AE10" t="n">
        <v>1728306.91929286</v>
      </c>
      <c r="AF10" t="n">
        <v>3045294.95106464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180500.960792094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11734.8082692034</v>
      </c>
      <c r="AT10" t="n">
        <v>0</v>
      </c>
      <c r="AU10" t="n">
        <v>0</v>
      </c>
      <c r="AV10" t="n">
        <v>0</v>
      </c>
      <c r="AW10" t="n">
        <v>0</v>
      </c>
      <c r="AX10" t="n">
        <v>30326.2504947078</v>
      </c>
      <c r="AY10" t="n">
        <v>0</v>
      </c>
      <c r="AZ10" t="n">
        <v>8928.65473890382</v>
      </c>
      <c r="BA10" t="n">
        <v>0</v>
      </c>
      <c r="BB10" t="n">
        <v>8640086.63872994</v>
      </c>
      <c r="BC10" t="n">
        <v>471617.460300654</v>
      </c>
      <c r="BD10" t="n">
        <v>13414500.0056664</v>
      </c>
      <c r="BE10" t="n">
        <v>0</v>
      </c>
      <c r="BF10" t="n">
        <v>822835.633506831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3077708.73343232</v>
      </c>
      <c r="BM10" t="n">
        <v>230825.984143512</v>
      </c>
      <c r="BN10" t="n">
        <v>13029345.2579645</v>
      </c>
      <c r="BO10" t="n">
        <v>118706.156748304</v>
      </c>
      <c r="BP10" t="n">
        <v>30193.0580476328</v>
      </c>
      <c r="BQ10" t="n">
        <v>-2701635.23261006</v>
      </c>
      <c r="BR10" t="n">
        <v>0</v>
      </c>
      <c r="BS10" t="n">
        <v>32806664.1105238</v>
      </c>
      <c r="BT10" t="n">
        <v>0</v>
      </c>
      <c r="BU10" t="n">
        <v>533501132.518406</v>
      </c>
      <c r="BV10" t="n">
        <v>0</v>
      </c>
      <c r="BW10" t="n">
        <v>0</v>
      </c>
      <c r="BX10" t="n">
        <v>0</v>
      </c>
      <c r="BY10" t="n">
        <v>0</v>
      </c>
      <c r="BZ10" t="n">
        <v>-401921849.55837</v>
      </c>
      <c r="CA10" t="n">
        <v>320195031.450677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344244481.580133</v>
      </c>
      <c r="C11" t="n">
        <v>26810195.3985872</v>
      </c>
      <c r="D11" t="n">
        <v>0</v>
      </c>
      <c r="E11" t="n">
        <v>1488091.6878434</v>
      </c>
      <c r="F11" t="n">
        <v>0</v>
      </c>
      <c r="G11" t="n">
        <v>0</v>
      </c>
      <c r="H11" t="n">
        <v>0</v>
      </c>
      <c r="I11" t="n">
        <v>188061044.590908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254161.696317979</v>
      </c>
      <c r="S11" t="n">
        <v>1393927.63886063</v>
      </c>
      <c r="T11" t="n">
        <v>9165348.80570487</v>
      </c>
      <c r="U11" t="n">
        <v>0</v>
      </c>
      <c r="V11" t="n">
        <v>340545.954929051</v>
      </c>
      <c r="W11" t="n">
        <v>33983874.9231949</v>
      </c>
      <c r="X11" t="n">
        <v>142756.436770825</v>
      </c>
      <c r="Y11" t="n">
        <v>0</v>
      </c>
      <c r="Z11" t="n">
        <v>274263.545067195</v>
      </c>
      <c r="AA11" t="n">
        <v>3754198.9502015</v>
      </c>
      <c r="AB11" t="n">
        <v>0</v>
      </c>
      <c r="AC11" t="n">
        <v>0</v>
      </c>
      <c r="AD11" t="n">
        <v>565709.158808892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2384432.23074567</v>
      </c>
      <c r="BC11" t="n">
        <v>398988.490963363</v>
      </c>
      <c r="BD11" t="n">
        <v>0</v>
      </c>
      <c r="BE11" t="n">
        <v>0</v>
      </c>
      <c r="BF11" t="n">
        <v>51113.6442133825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158641.943157204</v>
      </c>
      <c r="BM11" t="n">
        <v>208996.776215227</v>
      </c>
      <c r="BN11" t="n">
        <v>3618222.72744819</v>
      </c>
      <c r="BO11" t="n">
        <v>61002.2292927088</v>
      </c>
      <c r="BP11" t="n">
        <v>0</v>
      </c>
      <c r="BQ11" t="n">
        <v>205389.593626776</v>
      </c>
      <c r="BR11" t="n">
        <v>4180.98080297716</v>
      </c>
      <c r="BS11" t="n">
        <v>36478868.3013714</v>
      </c>
      <c r="BT11" t="n">
        <v>0</v>
      </c>
      <c r="BU11" t="n">
        <v>29063480.0049585</v>
      </c>
      <c r="BV11" t="n">
        <v>0</v>
      </c>
      <c r="BW11" t="n">
        <v>0</v>
      </c>
      <c r="BX11" t="n">
        <v>0</v>
      </c>
      <c r="BY11" t="n">
        <v>0</v>
      </c>
      <c r="BZ11" t="n">
        <v>12574171.8300729</v>
      </c>
      <c r="CA11" t="n">
        <v>31475611.7739881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687893.455263263</v>
      </c>
      <c r="CA12" t="n">
        <v>12665155.612236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22336748.0711752</v>
      </c>
      <c r="C13" t="n">
        <v>0</v>
      </c>
      <c r="D13" t="n">
        <v>7256.69111239607</v>
      </c>
      <c r="E13" t="n">
        <v>146810922.934706</v>
      </c>
      <c r="F13" t="n">
        <v>16290.3839304035</v>
      </c>
      <c r="G13" t="n">
        <v>56750343.4651284</v>
      </c>
      <c r="H13" t="n">
        <v>190052201.833315</v>
      </c>
      <c r="I13" t="n">
        <v>188155.601871183</v>
      </c>
      <c r="J13" t="n">
        <v>116919731.830378</v>
      </c>
      <c r="K13" t="n">
        <v>53867203.5825216</v>
      </c>
      <c r="L13" t="n">
        <v>8628188.50953033</v>
      </c>
      <c r="M13" t="n">
        <v>1616055.7905123</v>
      </c>
      <c r="N13" t="n">
        <v>63619.2101501781</v>
      </c>
      <c r="O13" t="n">
        <v>532331.573901423</v>
      </c>
      <c r="P13" t="n">
        <v>154975.795616639</v>
      </c>
      <c r="Q13" t="n">
        <v>334190.495651989</v>
      </c>
      <c r="R13" t="n">
        <v>254474.908490804</v>
      </c>
      <c r="S13" t="n">
        <v>2266891.53136782</v>
      </c>
      <c r="T13" t="n">
        <v>13850944.8736793</v>
      </c>
      <c r="U13" t="n">
        <v>201295.246593307</v>
      </c>
      <c r="V13" t="n">
        <v>0</v>
      </c>
      <c r="W13" t="n">
        <v>22424457.6930099</v>
      </c>
      <c r="X13" t="n">
        <v>0</v>
      </c>
      <c r="Y13" t="n">
        <v>37853016.5605809</v>
      </c>
      <c r="Z13" t="n">
        <v>20195610.8104678</v>
      </c>
      <c r="AA13" t="n">
        <v>1622917.160849</v>
      </c>
      <c r="AB13" t="n">
        <v>176165.815801172</v>
      </c>
      <c r="AC13" t="n">
        <v>0</v>
      </c>
      <c r="AD13" t="n">
        <v>0</v>
      </c>
      <c r="AE13" t="n">
        <v>0</v>
      </c>
      <c r="AF13" t="n">
        <v>10490.0396041902</v>
      </c>
      <c r="AG13" t="n">
        <v>0</v>
      </c>
      <c r="AH13" t="n">
        <v>2122706.20621495</v>
      </c>
      <c r="AI13" t="n">
        <v>0</v>
      </c>
      <c r="AJ13" t="n">
        <v>83138.1984469134</v>
      </c>
      <c r="AK13" t="n">
        <v>11204.95983682</v>
      </c>
      <c r="AL13" t="n">
        <v>0</v>
      </c>
      <c r="AM13" t="n">
        <v>8785.83025492839</v>
      </c>
      <c r="AN13" t="n">
        <v>14162.9273708812</v>
      </c>
      <c r="AO13" t="n">
        <v>203536.861853483</v>
      </c>
      <c r="AP13" t="n">
        <v>38211.5399057556</v>
      </c>
      <c r="AQ13" t="n">
        <v>2008123.23223447</v>
      </c>
      <c r="AR13" t="n">
        <v>3736696.0580508</v>
      </c>
      <c r="AS13" t="n">
        <v>0</v>
      </c>
      <c r="AT13" t="n">
        <v>0</v>
      </c>
      <c r="AU13" t="n">
        <v>0</v>
      </c>
      <c r="AV13" t="n">
        <v>0</v>
      </c>
      <c r="AW13" t="n">
        <v>58494.9644186388</v>
      </c>
      <c r="AX13" t="n">
        <v>0</v>
      </c>
      <c r="AY13" t="n">
        <v>0</v>
      </c>
      <c r="AZ13" t="n">
        <v>0</v>
      </c>
      <c r="BA13" t="n">
        <v>0</v>
      </c>
      <c r="BB13" t="n">
        <v>11469732.1907281</v>
      </c>
      <c r="BC13" t="n">
        <v>754263.273450671</v>
      </c>
      <c r="BD13" t="n">
        <v>7675540.45112422</v>
      </c>
      <c r="BE13" t="n">
        <v>510463.351840072</v>
      </c>
      <c r="BF13" t="n">
        <v>3846683.20701347</v>
      </c>
      <c r="BG13" t="n">
        <v>0</v>
      </c>
      <c r="BH13" t="n">
        <v>273350.811007283</v>
      </c>
      <c r="BI13" t="n">
        <v>585431.936080155</v>
      </c>
      <c r="BJ13" t="n">
        <v>2109218.47198627</v>
      </c>
      <c r="BK13" t="n">
        <v>2286438.95451871</v>
      </c>
      <c r="BL13" t="n">
        <v>6377934.2522268</v>
      </c>
      <c r="BM13" t="n">
        <v>1033655.48510945</v>
      </c>
      <c r="BN13" t="n">
        <v>6581019.10518535</v>
      </c>
      <c r="BO13" t="n">
        <v>13241044.336524</v>
      </c>
      <c r="BP13" t="n">
        <v>0</v>
      </c>
      <c r="BQ13" t="n">
        <v>13180115.348259</v>
      </c>
      <c r="BR13" t="n">
        <v>0</v>
      </c>
      <c r="BS13" t="n">
        <v>16100657.4823229</v>
      </c>
      <c r="BT13" t="n">
        <v>34234224.2699015</v>
      </c>
      <c r="BU13" t="n">
        <v>2025885.03114333</v>
      </c>
      <c r="BV13" t="n">
        <v>0</v>
      </c>
      <c r="BW13" t="n">
        <v>99249.8316173065</v>
      </c>
      <c r="BX13" t="n">
        <v>0</v>
      </c>
      <c r="BY13" t="n">
        <v>0</v>
      </c>
      <c r="BZ13" t="n">
        <v>20583628.2775825</v>
      </c>
      <c r="CA13" t="n">
        <v>616351455.589052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2080753.85159468</v>
      </c>
      <c r="E14" t="n">
        <v>27443613.9973392</v>
      </c>
      <c r="F14" t="n">
        <v>417973.375164641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317959.078827333</v>
      </c>
      <c r="BC14" t="n">
        <v>74552.7134726355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173362927.193849</v>
      </c>
      <c r="BW14" t="n">
        <v>2969164.36033067</v>
      </c>
      <c r="BX14" t="n">
        <v>0</v>
      </c>
      <c r="BY14" t="n">
        <v>0</v>
      </c>
      <c r="BZ14" t="n">
        <v>-8901.89529361051</v>
      </c>
      <c r="CA14" t="n">
        <v>13538325.9685758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67306942.4673172</v>
      </c>
      <c r="C15" t="n">
        <v>120311.427994664</v>
      </c>
      <c r="D15" t="n">
        <v>258367.923419512</v>
      </c>
      <c r="E15" t="n">
        <v>37945125.2231751</v>
      </c>
      <c r="F15" t="n">
        <v>32326.0113086243</v>
      </c>
      <c r="G15" t="n">
        <v>125594564.804583</v>
      </c>
      <c r="H15" t="n">
        <v>43444978.9802026</v>
      </c>
      <c r="I15" t="n">
        <v>14929176.9117629</v>
      </c>
      <c r="J15" t="n">
        <v>20038212.3770413</v>
      </c>
      <c r="K15" t="n">
        <v>15709202.9983186</v>
      </c>
      <c r="L15" t="n">
        <v>35314526.8071406</v>
      </c>
      <c r="M15" t="n">
        <v>18824623.2911588</v>
      </c>
      <c r="N15" t="n">
        <v>12292726.6167826</v>
      </c>
      <c r="O15" t="n">
        <v>4137394.16104422</v>
      </c>
      <c r="P15" t="n">
        <v>4777434.3194258</v>
      </c>
      <c r="Q15" t="n">
        <v>5530188.86184677</v>
      </c>
      <c r="R15" t="n">
        <v>4438636.06217506</v>
      </c>
      <c r="S15" t="n">
        <v>13141690.3456094</v>
      </c>
      <c r="T15" t="n">
        <v>47685248.4788974</v>
      </c>
      <c r="U15" t="n">
        <v>1881950.69754075</v>
      </c>
      <c r="V15" t="n">
        <v>101373.338643124</v>
      </c>
      <c r="W15" t="n">
        <v>37492153.588804</v>
      </c>
      <c r="X15" t="n">
        <v>17907928.9219371</v>
      </c>
      <c r="Y15" t="n">
        <v>31207576.8363684</v>
      </c>
      <c r="Z15" t="n">
        <v>28755773.6657036</v>
      </c>
      <c r="AA15" t="n">
        <v>25791812.0492092</v>
      </c>
      <c r="AB15" t="n">
        <v>82964456.9606797</v>
      </c>
      <c r="AC15" t="n">
        <v>19912555.1304794</v>
      </c>
      <c r="AD15" t="n">
        <v>45588427.3272065</v>
      </c>
      <c r="AE15" t="n">
        <v>42976706.712004</v>
      </c>
      <c r="AF15" t="n">
        <v>65643198.7974581</v>
      </c>
      <c r="AG15" t="n">
        <v>8813653.39634633</v>
      </c>
      <c r="AH15" t="n">
        <v>489715.67138094</v>
      </c>
      <c r="AI15" t="n">
        <v>918176.93487487</v>
      </c>
      <c r="AJ15" t="n">
        <v>23086824.7376576</v>
      </c>
      <c r="AK15" t="n">
        <v>1931431.3964377</v>
      </c>
      <c r="AL15" t="n">
        <v>3158618.32511253</v>
      </c>
      <c r="AM15" t="n">
        <v>4839959.75570242</v>
      </c>
      <c r="AN15" t="n">
        <v>6694712.21912205</v>
      </c>
      <c r="AO15" t="n">
        <v>3804161.23469165</v>
      </c>
      <c r="AP15" t="n">
        <v>400630.307051969</v>
      </c>
      <c r="AQ15" t="n">
        <v>17539049.4625542</v>
      </c>
      <c r="AR15" t="n">
        <v>7665959.00404493</v>
      </c>
      <c r="AS15" t="n">
        <v>16304541.9921555</v>
      </c>
      <c r="AT15" t="n">
        <v>4608277.38784886</v>
      </c>
      <c r="AU15" t="n">
        <v>3758669.72446757</v>
      </c>
      <c r="AV15" t="n">
        <v>18672040.2979365</v>
      </c>
      <c r="AW15" t="n">
        <v>873162.379192674</v>
      </c>
      <c r="AX15" t="n">
        <v>90811594.7217068</v>
      </c>
      <c r="AY15" t="n">
        <v>2175902.06223076</v>
      </c>
      <c r="AZ15" t="n">
        <v>2476151.30160433</v>
      </c>
      <c r="BA15" t="n">
        <v>3491419.39893768</v>
      </c>
      <c r="BB15" t="n">
        <v>24592651.3746381</v>
      </c>
      <c r="BC15" t="n">
        <v>50459941.0283558</v>
      </c>
      <c r="BD15" t="n">
        <v>11761317.5525731</v>
      </c>
      <c r="BE15" t="n">
        <v>6073719.07787392</v>
      </c>
      <c r="BF15" t="n">
        <v>21172714.2432207</v>
      </c>
      <c r="BG15" t="n">
        <v>23461612.4697407</v>
      </c>
      <c r="BH15" t="n">
        <v>47026517.6072331</v>
      </c>
      <c r="BI15" t="n">
        <v>29367201.2007022</v>
      </c>
      <c r="BJ15" t="n">
        <v>8023417.80050423</v>
      </c>
      <c r="BK15" t="n">
        <v>3869135.50667362</v>
      </c>
      <c r="BL15" t="n">
        <v>13392176.00512</v>
      </c>
      <c r="BM15" t="n">
        <v>18006670.0634244</v>
      </c>
      <c r="BN15" t="n">
        <v>74454105.0431217</v>
      </c>
      <c r="BO15" t="n">
        <v>33899326.0401845</v>
      </c>
      <c r="BP15" t="n">
        <v>4638259.55777736</v>
      </c>
      <c r="BQ15" t="n">
        <v>3373249.34123357</v>
      </c>
      <c r="BR15" t="n">
        <v>6180031.53971033</v>
      </c>
      <c r="BS15" t="n">
        <v>107970941.530373</v>
      </c>
      <c r="BT15" t="n">
        <v>10382074.0843174</v>
      </c>
      <c r="BU15" t="n">
        <v>1200670645.57091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66600550.4457988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44603685.8808639</v>
      </c>
      <c r="C16" t="n">
        <v>182027.173478618</v>
      </c>
      <c r="D16" t="n">
        <v>22049.3767420061</v>
      </c>
      <c r="E16" t="n">
        <v>125576394.20748</v>
      </c>
      <c r="F16" t="n">
        <v>462376.920498871</v>
      </c>
      <c r="G16" t="n">
        <v>96933419.2815355</v>
      </c>
      <c r="H16" t="n">
        <v>5434933.08736263</v>
      </c>
      <c r="I16" t="n">
        <v>10955368.7813191</v>
      </c>
      <c r="J16" t="n">
        <v>18099595.4445463</v>
      </c>
      <c r="K16" t="n">
        <v>13227745.3253407</v>
      </c>
      <c r="L16" t="n">
        <v>41157331.8886731</v>
      </c>
      <c r="M16" t="n">
        <v>27601177.859456</v>
      </c>
      <c r="N16" t="n">
        <v>17215856.9112348</v>
      </c>
      <c r="O16" t="n">
        <v>3583719.53667912</v>
      </c>
      <c r="P16" t="n">
        <v>5017563.59929714</v>
      </c>
      <c r="Q16" t="n">
        <v>3302007.307902</v>
      </c>
      <c r="R16" t="n">
        <v>3907731.0416626</v>
      </c>
      <c r="S16" t="n">
        <v>18574061.8355805</v>
      </c>
      <c r="T16" t="n">
        <v>43053635.2547954</v>
      </c>
      <c r="U16" t="n">
        <v>967400.176406759</v>
      </c>
      <c r="V16" t="n">
        <v>87264.7884179985</v>
      </c>
      <c r="W16" t="n">
        <v>28740192.2954354</v>
      </c>
      <c r="X16" t="n">
        <v>18788150.4150923</v>
      </c>
      <c r="Y16" t="n">
        <v>173390246.589676</v>
      </c>
      <c r="Z16" t="n">
        <v>17543503.4011546</v>
      </c>
      <c r="AA16" t="n">
        <v>17026582.2337294</v>
      </c>
      <c r="AB16" t="n">
        <v>84076993.2263621</v>
      </c>
      <c r="AC16" t="n">
        <v>24557888.0603654</v>
      </c>
      <c r="AD16" t="n">
        <v>19429766.069213</v>
      </c>
      <c r="AE16" t="n">
        <v>43196975.9114096</v>
      </c>
      <c r="AF16" t="n">
        <v>58619660.8541549</v>
      </c>
      <c r="AG16" t="n">
        <v>8069021.46785159</v>
      </c>
      <c r="AH16" t="n">
        <v>67238803.96657</v>
      </c>
      <c r="AI16" t="n">
        <v>1014498.35685289</v>
      </c>
      <c r="AJ16" t="n">
        <v>10921086.5710881</v>
      </c>
      <c r="AK16" t="n">
        <v>9444401.50176679</v>
      </c>
      <c r="AL16" t="n">
        <v>8023421.31640494</v>
      </c>
      <c r="AM16" t="n">
        <v>16395755.9387</v>
      </c>
      <c r="AN16" t="n">
        <v>9476782.0635137</v>
      </c>
      <c r="AO16" t="n">
        <v>2496333.16888955</v>
      </c>
      <c r="AP16" t="n">
        <v>257802.247444803</v>
      </c>
      <c r="AQ16" t="n">
        <v>27123478.5243905</v>
      </c>
      <c r="AR16" t="n">
        <v>7882296.72726184</v>
      </c>
      <c r="AS16" t="n">
        <v>117997061.974979</v>
      </c>
      <c r="AT16" t="n">
        <v>25022999.3190696</v>
      </c>
      <c r="AU16" t="n">
        <v>19016653.5476095</v>
      </c>
      <c r="AV16" t="n">
        <v>3473276.35327635</v>
      </c>
      <c r="AW16" t="n">
        <v>1517916084.26503</v>
      </c>
      <c r="AX16" t="n">
        <v>433130792.549357</v>
      </c>
      <c r="AY16" t="n">
        <v>5812071.47901429</v>
      </c>
      <c r="AZ16" t="n">
        <v>2882312.39293998</v>
      </c>
      <c r="BA16" t="n">
        <v>1307394.24146553</v>
      </c>
      <c r="BB16" t="n">
        <v>39481906.0584049</v>
      </c>
      <c r="BC16" t="n">
        <v>31713196.5915647</v>
      </c>
      <c r="BD16" t="n">
        <v>13673586.2576687</v>
      </c>
      <c r="BE16" t="n">
        <v>2412200.21948468</v>
      </c>
      <c r="BF16" t="n">
        <v>30147518.6751468</v>
      </c>
      <c r="BG16" t="n">
        <v>16590732.5173687</v>
      </c>
      <c r="BH16" t="n">
        <v>28788906.4559634</v>
      </c>
      <c r="BI16" t="n">
        <v>20714881.9731665</v>
      </c>
      <c r="BJ16" t="n">
        <v>14839462.5061265</v>
      </c>
      <c r="BK16" t="n">
        <v>3464511.17010298</v>
      </c>
      <c r="BL16" t="n">
        <v>9493197.18032855</v>
      </c>
      <c r="BM16" t="n">
        <v>34680710.865694</v>
      </c>
      <c r="BN16" t="n">
        <v>35796116.748473</v>
      </c>
      <c r="BO16" t="n">
        <v>69333737.2139353</v>
      </c>
      <c r="BP16" t="n">
        <v>45453265.9172648</v>
      </c>
      <c r="BQ16" t="n">
        <v>5043220.86267504</v>
      </c>
      <c r="BR16" t="n">
        <v>6085409.71127484</v>
      </c>
      <c r="BS16" t="n">
        <v>649356214.064355</v>
      </c>
      <c r="BT16" t="n">
        <v>644069469.358916</v>
      </c>
      <c r="BU16" t="n">
        <v>0</v>
      </c>
      <c r="BV16" t="n">
        <v>10150895035.6888</v>
      </c>
      <c r="BW16" t="n">
        <v>0</v>
      </c>
      <c r="BX16" t="n">
        <v>0</v>
      </c>
      <c r="BY16" t="n">
        <v>11132135462.4497</v>
      </c>
      <c r="BZ16" t="n">
        <v>0</v>
      </c>
      <c r="CA16" t="n">
        <v>2003653.71450194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65972506.9331469</v>
      </c>
      <c r="CI16" t="n">
        <v>0</v>
      </c>
      <c r="CJ16" t="n">
        <v>0</v>
      </c>
      <c r="CK16" t="n">
        <v>0</v>
      </c>
      <c r="CL16" t="n">
        <v>6626201060.50264</v>
      </c>
      <c r="CM16" t="n">
        <v>0</v>
      </c>
      <c r="CN16" t="n">
        <v>0</v>
      </c>
    </row>
    <row r="17">
      <c r="A17" t="s">
        <v>128</v>
      </c>
      <c r="B17" t="n">
        <v>10550482.0208484</v>
      </c>
      <c r="C17" t="n">
        <v>346717.37692604</v>
      </c>
      <c r="D17" t="n">
        <v>0</v>
      </c>
      <c r="E17" t="n">
        <v>3600304.8979758</v>
      </c>
      <c r="F17" t="n">
        <v>29102.2656383084</v>
      </c>
      <c r="G17" t="n">
        <v>53175.0837696487</v>
      </c>
      <c r="H17" t="n">
        <v>416413854.615002</v>
      </c>
      <c r="I17" t="n">
        <v>431058920.838658</v>
      </c>
      <c r="J17" t="n">
        <v>2378499.46491618</v>
      </c>
      <c r="K17" t="n">
        <v>3553842.69761619</v>
      </c>
      <c r="L17" t="n">
        <v>2762479.22662876</v>
      </c>
      <c r="M17" t="n">
        <v>10431252.5970978</v>
      </c>
      <c r="N17" t="n">
        <v>5793852.2653887</v>
      </c>
      <c r="O17" t="n">
        <v>8759519.1926194</v>
      </c>
      <c r="P17" t="n">
        <v>9526602.92627475</v>
      </c>
      <c r="Q17" t="n">
        <v>751129.217965029</v>
      </c>
      <c r="R17" t="n">
        <v>78163573.6606265</v>
      </c>
      <c r="S17" t="n">
        <v>28994080.3939626</v>
      </c>
      <c r="T17" t="n">
        <v>4352457.89762367</v>
      </c>
      <c r="U17" t="n">
        <v>141743.186847252</v>
      </c>
      <c r="V17" t="n">
        <v>0</v>
      </c>
      <c r="W17" t="n">
        <v>56137785.4216981</v>
      </c>
      <c r="X17" t="n">
        <v>0</v>
      </c>
      <c r="Y17" t="n">
        <v>0</v>
      </c>
      <c r="Z17" t="n">
        <v>1195094.92921362</v>
      </c>
      <c r="AA17" t="n">
        <v>20845998.3966843</v>
      </c>
      <c r="AB17" t="n">
        <v>84986769.9671354</v>
      </c>
      <c r="AC17" t="n">
        <v>1533106.67639895</v>
      </c>
      <c r="AD17" t="n">
        <v>7013114.61521355</v>
      </c>
      <c r="AE17" t="n">
        <v>1980504.19314764</v>
      </c>
      <c r="AF17" t="n">
        <v>9051072.61525332</v>
      </c>
      <c r="AG17" t="n">
        <v>0</v>
      </c>
      <c r="AH17" t="n">
        <v>38145841.0290834</v>
      </c>
      <c r="AI17" t="n">
        <v>0</v>
      </c>
      <c r="AJ17" t="n">
        <v>2289651.77348318</v>
      </c>
      <c r="AK17" t="n">
        <v>0</v>
      </c>
      <c r="AL17" t="n">
        <v>35468.8971105097</v>
      </c>
      <c r="AM17" t="n">
        <v>445434.630159446</v>
      </c>
      <c r="AN17" t="n">
        <v>704751.984720978</v>
      </c>
      <c r="AO17" t="n">
        <v>449636.495423057</v>
      </c>
      <c r="AP17" t="n">
        <v>156956.753515559</v>
      </c>
      <c r="AQ17" t="n">
        <v>4933759.40051761</v>
      </c>
      <c r="AR17" t="n">
        <v>4928790.16380296</v>
      </c>
      <c r="AS17" t="n">
        <v>2059828.22908563</v>
      </c>
      <c r="AT17" t="n">
        <v>35883.840900521</v>
      </c>
      <c r="AU17" t="n">
        <v>0</v>
      </c>
      <c r="AV17" t="n">
        <v>0</v>
      </c>
      <c r="AW17" t="n">
        <v>233407.507622244</v>
      </c>
      <c r="AX17" t="n">
        <v>45224985.2656361</v>
      </c>
      <c r="AY17" t="n">
        <v>1423470.65638174</v>
      </c>
      <c r="AZ17" t="n">
        <v>84463.1113428414</v>
      </c>
      <c r="BA17" t="n">
        <v>245952.317344332</v>
      </c>
      <c r="BB17" t="n">
        <v>7967124.13534864</v>
      </c>
      <c r="BC17" t="n">
        <v>118026.389274348</v>
      </c>
      <c r="BD17" t="n">
        <v>8493856.86701887</v>
      </c>
      <c r="BE17" t="n">
        <v>260467.867736294</v>
      </c>
      <c r="BF17" t="n">
        <v>275618.416191143</v>
      </c>
      <c r="BG17" t="n">
        <v>4369356.27509106</v>
      </c>
      <c r="BH17" t="n">
        <v>5974056.07233924</v>
      </c>
      <c r="BI17" t="n">
        <v>78520.9924289884</v>
      </c>
      <c r="BJ17" t="n">
        <v>8215112.73356412</v>
      </c>
      <c r="BK17" t="n">
        <v>53004.4091139921</v>
      </c>
      <c r="BL17" t="n">
        <v>1189749.48530321</v>
      </c>
      <c r="BM17" t="n">
        <v>4661208.71955917</v>
      </c>
      <c r="BN17" t="n">
        <v>5886765.54789818</v>
      </c>
      <c r="BO17" t="n">
        <v>3244031.99362516</v>
      </c>
      <c r="BP17" t="n">
        <v>46160.7584325967</v>
      </c>
      <c r="BQ17" t="n">
        <v>237627.852073308</v>
      </c>
      <c r="BR17" t="n">
        <v>10883.7760862767</v>
      </c>
      <c r="BS17" t="n">
        <v>20644606.2660229</v>
      </c>
      <c r="BT17" t="n">
        <v>2044094.90917595</v>
      </c>
      <c r="BU17" t="n">
        <v>14824072.0571296</v>
      </c>
      <c r="BV17" t="n">
        <v>4918721.29167191</v>
      </c>
      <c r="BW17" t="n">
        <v>0</v>
      </c>
      <c r="BX17" t="n">
        <v>0</v>
      </c>
      <c r="BY17" t="n">
        <v>62244871.9041152</v>
      </c>
      <c r="BZ17" t="n">
        <v>13682358.5226085</v>
      </c>
      <c r="CA17" t="n">
        <v>31713270.6510289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228135.890713694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356043.041429667</v>
      </c>
      <c r="C18" t="n">
        <v>343703.285914232</v>
      </c>
      <c r="D18" t="n">
        <v>88440.357847619</v>
      </c>
      <c r="E18" t="n">
        <v>10565720.7354448</v>
      </c>
      <c r="F18" t="n">
        <v>107529.516479843</v>
      </c>
      <c r="G18" t="n">
        <v>613711.822127575</v>
      </c>
      <c r="H18" t="n">
        <v>796511182.520349</v>
      </c>
      <c r="I18" t="n">
        <v>16587843.7703151</v>
      </c>
      <c r="J18" t="n">
        <v>153574738.40169</v>
      </c>
      <c r="K18" t="n">
        <v>11987637.643656</v>
      </c>
      <c r="L18" t="n">
        <v>15268631.7719946</v>
      </c>
      <c r="M18" t="n">
        <v>18740235.5601886</v>
      </c>
      <c r="N18" t="n">
        <v>4273283.87788112</v>
      </c>
      <c r="O18" t="n">
        <v>18894695.1813426</v>
      </c>
      <c r="P18" t="n">
        <v>22119276.1435913</v>
      </c>
      <c r="Q18" t="n">
        <v>746003.254741563</v>
      </c>
      <c r="R18" t="n">
        <v>3609626.02909178</v>
      </c>
      <c r="S18" t="n">
        <v>18403375.7554972</v>
      </c>
      <c r="T18" t="n">
        <v>37064990.2981585</v>
      </c>
      <c r="U18" t="n">
        <v>100981.887704675</v>
      </c>
      <c r="V18" t="n">
        <v>0</v>
      </c>
      <c r="W18" t="n">
        <v>7530773.30810349</v>
      </c>
      <c r="X18" t="n">
        <v>37622.5804450103</v>
      </c>
      <c r="Y18" t="n">
        <v>14919661.0749188</v>
      </c>
      <c r="Z18" t="n">
        <v>6390012.52936357</v>
      </c>
      <c r="AA18" t="n">
        <v>18138927.2439605</v>
      </c>
      <c r="AB18" t="n">
        <v>948873.179455684</v>
      </c>
      <c r="AC18" t="n">
        <v>1161211.78676598</v>
      </c>
      <c r="AD18" t="n">
        <v>183306.353675995</v>
      </c>
      <c r="AE18" t="n">
        <v>4023946.59505638</v>
      </c>
      <c r="AF18" t="n">
        <v>3918578.42866871</v>
      </c>
      <c r="AG18" t="n">
        <v>0</v>
      </c>
      <c r="AH18" t="n">
        <v>230084.443368108</v>
      </c>
      <c r="AI18" t="n">
        <v>0</v>
      </c>
      <c r="AJ18" t="n">
        <v>974630.378578809</v>
      </c>
      <c r="AK18" t="n">
        <v>0</v>
      </c>
      <c r="AL18" t="n">
        <v>0</v>
      </c>
      <c r="AM18" t="n">
        <v>83510.6133680153</v>
      </c>
      <c r="AN18" t="n">
        <v>161544.8581423</v>
      </c>
      <c r="AO18" t="n">
        <v>22760.5636953631</v>
      </c>
      <c r="AP18" t="n">
        <v>2270.03954284516</v>
      </c>
      <c r="AQ18" t="n">
        <v>9916728.15025443</v>
      </c>
      <c r="AR18" t="n">
        <v>3121885.73749305</v>
      </c>
      <c r="AS18" t="n">
        <v>112385.038632189</v>
      </c>
      <c r="AT18" t="n">
        <v>72657.4870825045</v>
      </c>
      <c r="AU18" t="n">
        <v>440357.903499544</v>
      </c>
      <c r="AV18" t="n">
        <v>0</v>
      </c>
      <c r="AW18" t="n">
        <v>1278807.52260622</v>
      </c>
      <c r="AX18" t="n">
        <v>464698.426115628</v>
      </c>
      <c r="AY18" t="n">
        <v>2044196.58551593</v>
      </c>
      <c r="AZ18" t="n">
        <v>0</v>
      </c>
      <c r="BA18" t="n">
        <v>1877888.08846652</v>
      </c>
      <c r="BB18" t="n">
        <v>40909420.6929419</v>
      </c>
      <c r="BC18" t="n">
        <v>382367.133010939</v>
      </c>
      <c r="BD18" t="n">
        <v>6272866.18088961</v>
      </c>
      <c r="BE18" t="n">
        <v>1708758.21662645</v>
      </c>
      <c r="BF18" t="n">
        <v>327145.241131699</v>
      </c>
      <c r="BG18" t="n">
        <v>24752041.6401234</v>
      </c>
      <c r="BH18" t="n">
        <v>15878132.1441251</v>
      </c>
      <c r="BI18" t="n">
        <v>1729005.98481421</v>
      </c>
      <c r="BJ18" t="n">
        <v>5575970.39986931</v>
      </c>
      <c r="BK18" t="n">
        <v>89435.966019544</v>
      </c>
      <c r="BL18" t="n">
        <v>965591.301502222</v>
      </c>
      <c r="BM18" t="n">
        <v>647559.978803832</v>
      </c>
      <c r="BN18" t="n">
        <v>13168668.2225569</v>
      </c>
      <c r="BO18" t="n">
        <v>16754282.8372771</v>
      </c>
      <c r="BP18" t="n">
        <v>157724.14003926</v>
      </c>
      <c r="BQ18" t="n">
        <v>1172798.5428257</v>
      </c>
      <c r="BR18" t="n">
        <v>0</v>
      </c>
      <c r="BS18" t="n">
        <v>10965606.9022678</v>
      </c>
      <c r="BT18" t="n">
        <v>21472207.8122239</v>
      </c>
      <c r="BU18" t="n">
        <v>62477998.4385213</v>
      </c>
      <c r="BV18" t="n">
        <v>0</v>
      </c>
      <c r="BW18" t="n">
        <v>0</v>
      </c>
      <c r="BX18" t="n">
        <v>0</v>
      </c>
      <c r="BY18" t="n">
        <v>0</v>
      </c>
      <c r="BZ18" t="n">
        <v>20833648.2655537</v>
      </c>
      <c r="CA18" t="n">
        <v>369635913.55486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490210.861418633</v>
      </c>
      <c r="C19" t="n">
        <v>0</v>
      </c>
      <c r="D19" t="n">
        <v>273448.770443703</v>
      </c>
      <c r="E19" t="n">
        <v>6603868.35795372</v>
      </c>
      <c r="F19" t="n">
        <v>28852.8106330286</v>
      </c>
      <c r="G19" t="n">
        <v>32189.6021366964</v>
      </c>
      <c r="H19" t="n">
        <v>28213249.8465513</v>
      </c>
      <c r="I19" t="n">
        <v>3458775.39177913</v>
      </c>
      <c r="J19" t="n">
        <v>12099637.9052721</v>
      </c>
      <c r="K19" t="n">
        <v>214324351.259042</v>
      </c>
      <c r="L19" t="n">
        <v>836728296.857324</v>
      </c>
      <c r="M19" t="n">
        <v>437126215.219737</v>
      </c>
      <c r="N19" t="n">
        <v>48074931.2074277</v>
      </c>
      <c r="O19" t="n">
        <v>103314830.972255</v>
      </c>
      <c r="P19" t="n">
        <v>99133781.1702616</v>
      </c>
      <c r="Q19" t="n">
        <v>19619599.6715547</v>
      </c>
      <c r="R19" t="n">
        <v>33932533.7686014</v>
      </c>
      <c r="S19" t="n">
        <v>96285639.1024333</v>
      </c>
      <c r="T19" t="n">
        <v>18023645.0953946</v>
      </c>
      <c r="U19" t="n">
        <v>297931.985738587</v>
      </c>
      <c r="V19" t="n">
        <v>0</v>
      </c>
      <c r="W19" t="n">
        <v>10176831.0199096</v>
      </c>
      <c r="X19" t="n">
        <v>224959.609954694</v>
      </c>
      <c r="Y19" t="n">
        <v>54529.5142558376</v>
      </c>
      <c r="Z19" t="n">
        <v>129187.889326465</v>
      </c>
      <c r="AA19" t="n">
        <v>13696589.191537</v>
      </c>
      <c r="AB19" t="n">
        <v>4369978.14814548</v>
      </c>
      <c r="AC19" t="n">
        <v>34372.8890995591</v>
      </c>
      <c r="AD19" t="n">
        <v>0</v>
      </c>
      <c r="AE19" t="n">
        <v>0</v>
      </c>
      <c r="AF19" t="n">
        <v>1289282.47683372</v>
      </c>
      <c r="AG19" t="n">
        <v>0</v>
      </c>
      <c r="AH19" t="n">
        <v>8214884.98938698</v>
      </c>
      <c r="AI19" t="n">
        <v>0</v>
      </c>
      <c r="AJ19" t="n">
        <v>0</v>
      </c>
      <c r="AK19" t="n">
        <v>0</v>
      </c>
      <c r="AL19" t="n">
        <v>0</v>
      </c>
      <c r="AM19" t="n">
        <v>986199.423499515</v>
      </c>
      <c r="AN19" t="n">
        <v>0</v>
      </c>
      <c r="AO19" t="n">
        <v>51035.2506795249</v>
      </c>
      <c r="AP19" t="n">
        <v>6786.71165161805</v>
      </c>
      <c r="AQ19" t="n">
        <v>1978715.12216426</v>
      </c>
      <c r="AR19" t="n">
        <v>1373243.65501266</v>
      </c>
      <c r="AS19" t="n">
        <v>0</v>
      </c>
      <c r="AT19" t="n">
        <v>0</v>
      </c>
      <c r="AU19" t="n">
        <v>0</v>
      </c>
      <c r="AV19" t="n">
        <v>0</v>
      </c>
      <c r="AW19" t="n">
        <v>10389.2294725647</v>
      </c>
      <c r="AX19" t="n">
        <v>6763207.35278346</v>
      </c>
      <c r="AY19" t="n">
        <v>158056.332051105</v>
      </c>
      <c r="AZ19" t="n">
        <v>0</v>
      </c>
      <c r="BA19" t="n">
        <v>0</v>
      </c>
      <c r="BB19" t="n">
        <v>7864808.07830386</v>
      </c>
      <c r="BC19" t="n">
        <v>464408.226179684</v>
      </c>
      <c r="BD19" t="n">
        <v>2570883.33268826</v>
      </c>
      <c r="BE19" t="n">
        <v>1639815.24709417</v>
      </c>
      <c r="BF19" t="n">
        <v>740738.467452652</v>
      </c>
      <c r="BG19" t="n">
        <v>1105591.13673649</v>
      </c>
      <c r="BH19" t="n">
        <v>226564.574826091</v>
      </c>
      <c r="BI19" t="n">
        <v>133685.940965981</v>
      </c>
      <c r="BJ19" t="n">
        <v>2200869.51449192</v>
      </c>
      <c r="BK19" t="n">
        <v>86900.352566892</v>
      </c>
      <c r="BL19" t="n">
        <v>1659176.00157792</v>
      </c>
      <c r="BM19" t="n">
        <v>105701.300908932</v>
      </c>
      <c r="BN19" t="n">
        <v>734093.512405609</v>
      </c>
      <c r="BO19" t="n">
        <v>4205645.03645616</v>
      </c>
      <c r="BP19" t="n">
        <v>362391.898563312</v>
      </c>
      <c r="BQ19" t="n">
        <v>1613798.24478884</v>
      </c>
      <c r="BR19" t="n">
        <v>0</v>
      </c>
      <c r="BS19" t="n">
        <v>635968.948691567</v>
      </c>
      <c r="BT19" t="n">
        <v>3104155.59816402</v>
      </c>
      <c r="BU19" t="n">
        <v>4000221.85796765</v>
      </c>
      <c r="BV19" t="n">
        <v>0</v>
      </c>
      <c r="BW19" t="n">
        <v>0</v>
      </c>
      <c r="BX19" t="n">
        <v>0</v>
      </c>
      <c r="BY19" t="n">
        <v>0</v>
      </c>
      <c r="BZ19" t="n">
        <v>16199427.8306966</v>
      </c>
      <c r="CA19" t="n">
        <v>123922243.370537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13169761.1134135</v>
      </c>
      <c r="C20" t="n">
        <v>279968.863680253</v>
      </c>
      <c r="D20" t="n">
        <v>371172.802038346</v>
      </c>
      <c r="E20" t="n">
        <v>14982805.3109255</v>
      </c>
      <c r="F20" t="n">
        <v>78585.2935072613</v>
      </c>
      <c r="G20" t="n">
        <v>3143065.19935949</v>
      </c>
      <c r="H20" t="n">
        <v>642909065.325983</v>
      </c>
      <c r="I20" t="n">
        <v>39798150.7188618</v>
      </c>
      <c r="J20" t="n">
        <v>16954375.0486256</v>
      </c>
      <c r="K20" t="n">
        <v>23725812.0033953</v>
      </c>
      <c r="L20" t="n">
        <v>473089143.673373</v>
      </c>
      <c r="M20" t="n">
        <v>286822059.962936</v>
      </c>
      <c r="N20" t="n">
        <v>95002064.6686407</v>
      </c>
      <c r="O20" t="n">
        <v>81737499.4687556</v>
      </c>
      <c r="P20" t="n">
        <v>57349849.2990886</v>
      </c>
      <c r="Q20" t="n">
        <v>35769626.1605716</v>
      </c>
      <c r="R20" t="n">
        <v>46492590.2133338</v>
      </c>
      <c r="S20" t="n">
        <v>103381035.870582</v>
      </c>
      <c r="T20" t="n">
        <v>138242723.547235</v>
      </c>
      <c r="U20" t="n">
        <v>1685946.33243278</v>
      </c>
      <c r="V20" t="n">
        <v>274828.463661026</v>
      </c>
      <c r="W20" t="n">
        <v>60022968.1885651</v>
      </c>
      <c r="X20" t="n">
        <v>19882177.871176</v>
      </c>
      <c r="Y20" t="n">
        <v>16983165.5398549</v>
      </c>
      <c r="Z20" t="n">
        <v>29337338.7321073</v>
      </c>
      <c r="AA20" t="n">
        <v>65003860.8106922</v>
      </c>
      <c r="AB20" t="n">
        <v>21178154.5998666</v>
      </c>
      <c r="AC20" t="n">
        <v>2130076.66121597</v>
      </c>
      <c r="AD20" t="n">
        <v>1044316.53377183</v>
      </c>
      <c r="AE20" t="n">
        <v>1191147.78023553</v>
      </c>
      <c r="AF20" t="n">
        <v>4683048.02454888</v>
      </c>
      <c r="AG20" t="n">
        <v>4200526.26211872</v>
      </c>
      <c r="AH20" t="n">
        <v>3738851.91488243</v>
      </c>
      <c r="AI20" t="n">
        <v>12427154.2469435</v>
      </c>
      <c r="AJ20" t="n">
        <v>13425230.4421921</v>
      </c>
      <c r="AK20" t="n">
        <v>1776621.35125782</v>
      </c>
      <c r="AL20" t="n">
        <v>6689621.21857619</v>
      </c>
      <c r="AM20" t="n">
        <v>1627130.60881732</v>
      </c>
      <c r="AN20" t="n">
        <v>3428262.36995873</v>
      </c>
      <c r="AO20" t="n">
        <v>5282733.15349415</v>
      </c>
      <c r="AP20" t="n">
        <v>65180.636066442</v>
      </c>
      <c r="AQ20" t="n">
        <v>35582918.4797475</v>
      </c>
      <c r="AR20" t="n">
        <v>6378370.15034563</v>
      </c>
      <c r="AS20" t="n">
        <v>3133054.39783169</v>
      </c>
      <c r="AT20" t="n">
        <v>1204558.78044669</v>
      </c>
      <c r="AU20" t="n">
        <v>0</v>
      </c>
      <c r="AV20" t="n">
        <v>15574.6655264621</v>
      </c>
      <c r="AW20" t="n">
        <v>161548.212790481</v>
      </c>
      <c r="AX20" t="n">
        <v>1191347.20616742</v>
      </c>
      <c r="AY20" t="n">
        <v>3844523.11863989</v>
      </c>
      <c r="AZ20" t="n">
        <v>90936.8566610117</v>
      </c>
      <c r="BA20" t="n">
        <v>16469834.273139</v>
      </c>
      <c r="BB20" t="n">
        <v>34714743.7375102</v>
      </c>
      <c r="BC20" t="n">
        <v>7564451.53062736</v>
      </c>
      <c r="BD20" t="n">
        <v>9938348.24420395</v>
      </c>
      <c r="BE20" t="n">
        <v>21431387.4513776</v>
      </c>
      <c r="BF20" t="n">
        <v>2499661.30947312</v>
      </c>
      <c r="BG20" t="n">
        <v>2985635.87619659</v>
      </c>
      <c r="BH20" t="n">
        <v>14940615.2991823</v>
      </c>
      <c r="BI20" t="n">
        <v>298906.807560032</v>
      </c>
      <c r="BJ20" t="n">
        <v>14498564.5818489</v>
      </c>
      <c r="BK20" t="n">
        <v>214001.160271426</v>
      </c>
      <c r="BL20" t="n">
        <v>2116498.09021166</v>
      </c>
      <c r="BM20" t="n">
        <v>4686582.42056048</v>
      </c>
      <c r="BN20" t="n">
        <v>15111149.0895242</v>
      </c>
      <c r="BO20" t="n">
        <v>25208484.529439</v>
      </c>
      <c r="BP20" t="n">
        <v>7793613.07862133</v>
      </c>
      <c r="BQ20" t="n">
        <v>5077987.70864291</v>
      </c>
      <c r="BR20" t="n">
        <v>704333.825639277</v>
      </c>
      <c r="BS20" t="n">
        <v>20982490.6822261</v>
      </c>
      <c r="BT20" t="n">
        <v>23968296.0025611</v>
      </c>
      <c r="BU20" t="n">
        <v>72191777.3274047</v>
      </c>
      <c r="BV20" t="n">
        <v>0</v>
      </c>
      <c r="BW20" t="n">
        <v>128571221.925827</v>
      </c>
      <c r="BX20" t="n">
        <v>0</v>
      </c>
      <c r="BY20" t="n">
        <v>0</v>
      </c>
      <c r="BZ20" t="n">
        <v>92710828.416794</v>
      </c>
      <c r="CA20" t="n">
        <v>573060270.323644</v>
      </c>
      <c r="CB20" t="n">
        <v>0</v>
      </c>
      <c r="CC20" t="n">
        <v>0</v>
      </c>
      <c r="CD20" t="n">
        <v>0</v>
      </c>
      <c r="CE20" t="n">
        <v>10291032.0759912</v>
      </c>
      <c r="CF20" t="n">
        <v>0</v>
      </c>
      <c r="CG20" t="n">
        <v>0</v>
      </c>
      <c r="CH20" t="n">
        <v>0</v>
      </c>
      <c r="CI20" t="n">
        <v>24472959.2436822</v>
      </c>
      <c r="CJ20" t="n">
        <v>0</v>
      </c>
      <c r="CK20" t="n">
        <v>0</v>
      </c>
      <c r="CL20" t="n">
        <v>0</v>
      </c>
      <c r="CM20" t="n">
        <v>453548.316601925</v>
      </c>
      <c r="CN20" t="n">
        <v>0</v>
      </c>
    </row>
    <row r="21">
      <c r="A21" t="s">
        <v>132</v>
      </c>
      <c r="B21" t="n">
        <v>2071295.92494341</v>
      </c>
      <c r="C21" t="n">
        <v>47547.7701125488</v>
      </c>
      <c r="D21" t="n">
        <v>411540.651279471</v>
      </c>
      <c r="E21" t="n">
        <v>33617721.9011436</v>
      </c>
      <c r="F21" t="n">
        <v>290497.934711951</v>
      </c>
      <c r="G21" t="n">
        <v>1400115.80265315</v>
      </c>
      <c r="H21" t="n">
        <v>256437132.091208</v>
      </c>
      <c r="I21" t="n">
        <v>5014751.93065228</v>
      </c>
      <c r="J21" t="n">
        <v>606269.732546184</v>
      </c>
      <c r="K21" t="n">
        <v>3586381.32837908</v>
      </c>
      <c r="L21" t="n">
        <v>47364992.3152967</v>
      </c>
      <c r="M21" t="n">
        <v>281727311.673931</v>
      </c>
      <c r="N21" t="n">
        <v>2293550.25265804</v>
      </c>
      <c r="O21" t="n">
        <v>9999627.14677886</v>
      </c>
      <c r="P21" t="n">
        <v>48805968.8288127</v>
      </c>
      <c r="Q21" t="n">
        <v>8249733.9864404</v>
      </c>
      <c r="R21" t="n">
        <v>907331.672542688</v>
      </c>
      <c r="S21" t="n">
        <v>8210699.24612537</v>
      </c>
      <c r="T21" t="n">
        <v>17218615.3638837</v>
      </c>
      <c r="U21" t="n">
        <v>69113.7102102317</v>
      </c>
      <c r="V21" t="n">
        <v>7598.21737843737</v>
      </c>
      <c r="W21" t="n">
        <v>4945662.45628044</v>
      </c>
      <c r="X21" t="n">
        <v>21006788.2438162</v>
      </c>
      <c r="Y21" t="n">
        <v>326123.936411278</v>
      </c>
      <c r="Z21" t="n">
        <v>6589723.25965167</v>
      </c>
      <c r="AA21" t="n">
        <v>12094325.5925207</v>
      </c>
      <c r="AB21" t="n">
        <v>14720694.2346599</v>
      </c>
      <c r="AC21" t="n">
        <v>1392293.10096937</v>
      </c>
      <c r="AD21" t="n">
        <v>973344.717505431</v>
      </c>
      <c r="AE21" t="n">
        <v>1269965.73616242</v>
      </c>
      <c r="AF21" t="n">
        <v>3176701.44903447</v>
      </c>
      <c r="AG21" t="n">
        <v>90794.486024595</v>
      </c>
      <c r="AH21" t="n">
        <v>690461.523153317</v>
      </c>
      <c r="AI21" t="n">
        <v>190468.488127254</v>
      </c>
      <c r="AJ21" t="n">
        <v>2686805.85944968</v>
      </c>
      <c r="AK21" t="n">
        <v>181778.621297618</v>
      </c>
      <c r="AL21" t="n">
        <v>218884.366687557</v>
      </c>
      <c r="AM21" t="n">
        <v>291853.207185266</v>
      </c>
      <c r="AN21" t="n">
        <v>6597563.00718056</v>
      </c>
      <c r="AO21" t="n">
        <v>397718.520073787</v>
      </c>
      <c r="AP21" t="n">
        <v>70108.6105504838</v>
      </c>
      <c r="AQ21" t="n">
        <v>4665870.87992189</v>
      </c>
      <c r="AR21" t="n">
        <v>3410792.99270343</v>
      </c>
      <c r="AS21" t="n">
        <v>71042.5220673114</v>
      </c>
      <c r="AT21" t="n">
        <v>354312.084319093</v>
      </c>
      <c r="AU21" t="n">
        <v>1517984.19588927</v>
      </c>
      <c r="AV21" t="n">
        <v>0</v>
      </c>
      <c r="AW21" t="n">
        <v>463186.137177467</v>
      </c>
      <c r="AX21" t="n">
        <v>666187.941188576</v>
      </c>
      <c r="AY21" t="n">
        <v>1963774.70036315</v>
      </c>
      <c r="AZ21" t="n">
        <v>154440.200900832</v>
      </c>
      <c r="BA21" t="n">
        <v>6981935.14243717</v>
      </c>
      <c r="BB21" t="n">
        <v>10257466.2219635</v>
      </c>
      <c r="BC21" t="n">
        <v>1534412.06412199</v>
      </c>
      <c r="BD21" t="n">
        <v>7136066.08984158</v>
      </c>
      <c r="BE21" t="n">
        <v>16005316.2708018</v>
      </c>
      <c r="BF21" t="n">
        <v>11042075.8966144</v>
      </c>
      <c r="BG21" t="n">
        <v>3228811.67458496</v>
      </c>
      <c r="BH21" t="n">
        <v>9045143.18101804</v>
      </c>
      <c r="BI21" t="n">
        <v>2552047.02123463</v>
      </c>
      <c r="BJ21" t="n">
        <v>2215001.63441404</v>
      </c>
      <c r="BK21" t="n">
        <v>123570.688009387</v>
      </c>
      <c r="BL21" t="n">
        <v>1043675.9163281</v>
      </c>
      <c r="BM21" t="n">
        <v>241977.552638729</v>
      </c>
      <c r="BN21" t="n">
        <v>3968007.45532007</v>
      </c>
      <c r="BO21" t="n">
        <v>28960540.799347</v>
      </c>
      <c r="BP21" t="n">
        <v>3105034.95352642</v>
      </c>
      <c r="BQ21" t="n">
        <v>327505.011597853</v>
      </c>
      <c r="BR21" t="n">
        <v>210452.096728383</v>
      </c>
      <c r="BS21" t="n">
        <v>16441383.610766</v>
      </c>
      <c r="BT21" t="n">
        <v>4575998.33997765</v>
      </c>
      <c r="BU21" t="n">
        <v>33264920.3411188</v>
      </c>
      <c r="BV21" t="n">
        <v>0</v>
      </c>
      <c r="BW21" t="n">
        <v>2423495788.51168</v>
      </c>
      <c r="BX21" t="n">
        <v>0</v>
      </c>
      <c r="BY21" t="n">
        <v>0</v>
      </c>
      <c r="BZ21" t="n">
        <v>70222797.2334023</v>
      </c>
      <c r="CA21" t="n">
        <v>2691699874.38424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569730.432319224</v>
      </c>
      <c r="CJ21" t="n">
        <v>0</v>
      </c>
      <c r="CK21" t="n">
        <v>0</v>
      </c>
      <c r="CL21" t="n">
        <v>0</v>
      </c>
      <c r="CM21" t="n">
        <v>64092424.265933</v>
      </c>
      <c r="CN21" t="n">
        <v>0</v>
      </c>
    </row>
    <row r="22">
      <c r="A22" t="s">
        <v>133</v>
      </c>
      <c r="B22" t="n">
        <v>259367.394557596</v>
      </c>
      <c r="C22" t="n">
        <v>0</v>
      </c>
      <c r="D22" t="n">
        <v>1525.7659200715</v>
      </c>
      <c r="E22" t="n">
        <v>93129.4259524086</v>
      </c>
      <c r="F22" t="n">
        <v>434.091187548989</v>
      </c>
      <c r="G22" t="n">
        <v>384978.5740271</v>
      </c>
      <c r="H22" t="n">
        <v>22126418.3010917</v>
      </c>
      <c r="I22" t="n">
        <v>7271439.10543784</v>
      </c>
      <c r="J22" t="n">
        <v>2490610.79746572</v>
      </c>
      <c r="K22" t="n">
        <v>3800949.41941833</v>
      </c>
      <c r="L22" t="n">
        <v>30132775.278605</v>
      </c>
      <c r="M22" t="n">
        <v>40229613.6828798</v>
      </c>
      <c r="N22" t="n">
        <v>219718133.931021</v>
      </c>
      <c r="O22" t="n">
        <v>19781471.2723572</v>
      </c>
      <c r="P22" t="n">
        <v>11464164.155344</v>
      </c>
      <c r="Q22" t="n">
        <v>19571088.2451177</v>
      </c>
      <c r="R22" t="n">
        <v>5333006.40010465</v>
      </c>
      <c r="S22" t="n">
        <v>28417718.913154</v>
      </c>
      <c r="T22" t="n">
        <v>11427716.2153644</v>
      </c>
      <c r="U22" t="n">
        <v>609955.5632672</v>
      </c>
      <c r="V22" t="n">
        <v>70089.9841559639</v>
      </c>
      <c r="W22" t="n">
        <v>8967234.55625322</v>
      </c>
      <c r="X22" t="n">
        <v>13040020.9122156</v>
      </c>
      <c r="Y22" t="n">
        <v>1339377.49820343</v>
      </c>
      <c r="Z22" t="n">
        <v>8669199.79721292</v>
      </c>
      <c r="AA22" t="n">
        <v>10637239.2153249</v>
      </c>
      <c r="AB22" t="n">
        <v>104318183.461802</v>
      </c>
      <c r="AC22" t="n">
        <v>1869796.77495867</v>
      </c>
      <c r="AD22" t="n">
        <v>274856.557568345</v>
      </c>
      <c r="AE22" t="n">
        <v>231266.353944036</v>
      </c>
      <c r="AF22" t="n">
        <v>1558333.90675398</v>
      </c>
      <c r="AG22" t="n">
        <v>27611.092094272</v>
      </c>
      <c r="AH22" t="n">
        <v>336831.795086319</v>
      </c>
      <c r="AI22" t="n">
        <v>5876.19492587229</v>
      </c>
      <c r="AJ22" t="n">
        <v>129125.608747068</v>
      </c>
      <c r="AK22" t="n">
        <v>0</v>
      </c>
      <c r="AL22" t="n">
        <v>0</v>
      </c>
      <c r="AM22" t="n">
        <v>19264.462721684</v>
      </c>
      <c r="AN22" t="n">
        <v>42700.1911450728</v>
      </c>
      <c r="AO22" t="n">
        <v>6077419.86582689</v>
      </c>
      <c r="AP22" t="n">
        <v>472602.332488565</v>
      </c>
      <c r="AQ22" t="n">
        <v>18380240.1207637</v>
      </c>
      <c r="AR22" t="n">
        <v>5129702.48151001</v>
      </c>
      <c r="AS22" t="n">
        <v>712945.645432603</v>
      </c>
      <c r="AT22" t="n">
        <v>335216.661667637</v>
      </c>
      <c r="AU22" t="n">
        <v>131357.324154929</v>
      </c>
      <c r="AV22" t="n">
        <v>1051061.36060906</v>
      </c>
      <c r="AW22" t="n">
        <v>8016.27470563311</v>
      </c>
      <c r="AX22" t="n">
        <v>55832.2590791497</v>
      </c>
      <c r="AY22" t="n">
        <v>101629.527325414</v>
      </c>
      <c r="AZ22" t="n">
        <v>810947.936291112</v>
      </c>
      <c r="BA22" t="n">
        <v>16837222.918089</v>
      </c>
      <c r="BB22" t="n">
        <v>20011273.2727403</v>
      </c>
      <c r="BC22" t="n">
        <v>22134073.5831932</v>
      </c>
      <c r="BD22" t="n">
        <v>5737011.45494719</v>
      </c>
      <c r="BE22" t="n">
        <v>1843161.82239936</v>
      </c>
      <c r="BF22" t="n">
        <v>4084084.70445348</v>
      </c>
      <c r="BG22" t="n">
        <v>46463786.4239872</v>
      </c>
      <c r="BH22" t="n">
        <v>3030144.55206346</v>
      </c>
      <c r="BI22" t="n">
        <v>687675.783139543</v>
      </c>
      <c r="BJ22" t="n">
        <v>569070.728877003</v>
      </c>
      <c r="BK22" t="n">
        <v>5157.83492622863</v>
      </c>
      <c r="BL22" t="n">
        <v>34445.1513442835</v>
      </c>
      <c r="BM22" t="n">
        <v>334819.379056158</v>
      </c>
      <c r="BN22" t="n">
        <v>159478.231756894</v>
      </c>
      <c r="BO22" t="n">
        <v>6655671.04575574</v>
      </c>
      <c r="BP22" t="n">
        <v>16426813.9121904</v>
      </c>
      <c r="BQ22" t="n">
        <v>6711583.72231797</v>
      </c>
      <c r="BR22" t="n">
        <v>0</v>
      </c>
      <c r="BS22" t="n">
        <v>4644469.21419239</v>
      </c>
      <c r="BT22" t="n">
        <v>3650340.44358858</v>
      </c>
      <c r="BU22" t="n">
        <v>47134621.9657362</v>
      </c>
      <c r="BV22" t="n">
        <v>0</v>
      </c>
      <c r="BW22" t="n">
        <v>983662442.931098</v>
      </c>
      <c r="BX22" t="n">
        <v>0</v>
      </c>
      <c r="BY22" t="n">
        <v>18392.8025360572</v>
      </c>
      <c r="BZ22" t="n">
        <v>29641088.7532648</v>
      </c>
      <c r="CA22" t="n">
        <v>1922844792.73454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2200206.79474771</v>
      </c>
      <c r="CJ22" t="n">
        <v>0</v>
      </c>
      <c r="CK22" t="n">
        <v>0</v>
      </c>
      <c r="CL22" t="n">
        <v>0</v>
      </c>
      <c r="CM22" t="n">
        <v>8590412.25412699</v>
      </c>
      <c r="CN22" t="n">
        <v>0</v>
      </c>
    </row>
    <row r="23">
      <c r="A23" t="s">
        <v>134</v>
      </c>
      <c r="B23" t="n">
        <v>1144502.79683276</v>
      </c>
      <c r="C23" t="n">
        <v>45165.4442158501</v>
      </c>
      <c r="D23" t="n">
        <v>972.621469351792</v>
      </c>
      <c r="E23" t="n">
        <v>15831.1185078728</v>
      </c>
      <c r="F23" t="n">
        <v>2213.74145594641</v>
      </c>
      <c r="G23" t="n">
        <v>51720.8464730927</v>
      </c>
      <c r="H23" t="n">
        <v>148936772.978412</v>
      </c>
      <c r="I23" t="n">
        <v>1595501.88180723</v>
      </c>
      <c r="J23" t="n">
        <v>62865.5443798157</v>
      </c>
      <c r="K23" t="n">
        <v>4473053.66426824</v>
      </c>
      <c r="L23" t="n">
        <v>14575820.86755</v>
      </c>
      <c r="M23" t="n">
        <v>72299973.5548352</v>
      </c>
      <c r="N23" t="n">
        <v>11494891.0025193</v>
      </c>
      <c r="O23" t="n">
        <v>40278847.0562075</v>
      </c>
      <c r="P23" t="n">
        <v>7733251.33672757</v>
      </c>
      <c r="Q23" t="n">
        <v>1918947.56048583</v>
      </c>
      <c r="R23" t="n">
        <v>12768.457348301</v>
      </c>
      <c r="S23" t="n">
        <v>7829612.03569664</v>
      </c>
      <c r="T23" t="n">
        <v>156725.282751142</v>
      </c>
      <c r="U23" t="n">
        <v>0</v>
      </c>
      <c r="V23" t="n">
        <v>0</v>
      </c>
      <c r="W23" t="n">
        <v>23071.1640156749</v>
      </c>
      <c r="X23" t="n">
        <v>0</v>
      </c>
      <c r="Y23" t="n">
        <v>133509.548679809</v>
      </c>
      <c r="Z23" t="n">
        <v>1905003.15374546</v>
      </c>
      <c r="AA23" t="n">
        <v>3285320.01582439</v>
      </c>
      <c r="AB23" t="n">
        <v>15024504.3027411</v>
      </c>
      <c r="AC23" t="n">
        <v>1341272.23136443</v>
      </c>
      <c r="AD23" t="n">
        <v>519943.195927843</v>
      </c>
      <c r="AE23" t="n">
        <v>4270214.42582067</v>
      </c>
      <c r="AF23" t="n">
        <v>875838.260203782</v>
      </c>
      <c r="AG23" t="n">
        <v>10951.7883892649</v>
      </c>
      <c r="AH23" t="n">
        <v>1736832.31686621</v>
      </c>
      <c r="AI23" t="n">
        <v>118868.786510417</v>
      </c>
      <c r="AJ23" t="n">
        <v>488067.550628143</v>
      </c>
      <c r="AK23" t="n">
        <v>789352.29359373</v>
      </c>
      <c r="AL23" t="n">
        <v>3080.25806310476</v>
      </c>
      <c r="AM23" t="n">
        <v>441276.041886868</v>
      </c>
      <c r="AN23" t="n">
        <v>295624.09046936</v>
      </c>
      <c r="AO23" t="n">
        <v>23428.9175021907</v>
      </c>
      <c r="AP23" t="n">
        <v>0</v>
      </c>
      <c r="AQ23" t="n">
        <v>5088908.2842101</v>
      </c>
      <c r="AR23" t="n">
        <v>575982.073622613</v>
      </c>
      <c r="AS23" t="n">
        <v>514156.334192</v>
      </c>
      <c r="AT23" t="n">
        <v>74791.0418018024</v>
      </c>
      <c r="AU23" t="n">
        <v>41681.7303020996</v>
      </c>
      <c r="AV23" t="n">
        <v>0</v>
      </c>
      <c r="AW23" t="n">
        <v>28616.5029445072</v>
      </c>
      <c r="AX23" t="n">
        <v>84153.1266361594</v>
      </c>
      <c r="AY23" t="n">
        <v>572413.291175753</v>
      </c>
      <c r="AZ23" t="n">
        <v>0</v>
      </c>
      <c r="BA23" t="n">
        <v>11505630.9358071</v>
      </c>
      <c r="BB23" t="n">
        <v>15158407.6309181</v>
      </c>
      <c r="BC23" t="n">
        <v>885589.140199853</v>
      </c>
      <c r="BD23" t="n">
        <v>5646438.75411737</v>
      </c>
      <c r="BE23" t="n">
        <v>1411491.16167725</v>
      </c>
      <c r="BF23" t="n">
        <v>1036667.0451528</v>
      </c>
      <c r="BG23" t="n">
        <v>48337.8378088563</v>
      </c>
      <c r="BH23" t="n">
        <v>3952369.80616346</v>
      </c>
      <c r="BI23" t="n">
        <v>259124.689819212</v>
      </c>
      <c r="BJ23" t="n">
        <v>3278296.66092774</v>
      </c>
      <c r="BK23" t="n">
        <v>18412.4426586808</v>
      </c>
      <c r="BL23" t="n">
        <v>1338923.09339084</v>
      </c>
      <c r="BM23" t="n">
        <v>730423.496665982</v>
      </c>
      <c r="BN23" t="n">
        <v>1184417.19205015</v>
      </c>
      <c r="BO23" t="n">
        <v>21489862.6178173</v>
      </c>
      <c r="BP23" t="n">
        <v>3615920.65358167</v>
      </c>
      <c r="BQ23" t="n">
        <v>8213340.60161049</v>
      </c>
      <c r="BR23" t="n">
        <v>0</v>
      </c>
      <c r="BS23" t="n">
        <v>3881785.45186104</v>
      </c>
      <c r="BT23" t="n">
        <v>9656936.48305738</v>
      </c>
      <c r="BU23" t="n">
        <v>116135541.782864</v>
      </c>
      <c r="BV23" t="n">
        <v>0</v>
      </c>
      <c r="BW23" t="n">
        <v>196596538.675504</v>
      </c>
      <c r="BX23" t="n">
        <v>0</v>
      </c>
      <c r="BY23" t="n">
        <v>25409893.3368752</v>
      </c>
      <c r="BZ23" t="n">
        <v>24033817.9404261</v>
      </c>
      <c r="CA23" t="n">
        <v>648468828.413654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14598801.5550239</v>
      </c>
      <c r="CJ23" t="n">
        <v>0</v>
      </c>
      <c r="CK23" t="n">
        <v>0</v>
      </c>
      <c r="CL23" t="n">
        <v>0</v>
      </c>
      <c r="CM23" t="n">
        <v>3350073.73334302</v>
      </c>
      <c r="CN23" t="n">
        <v>0</v>
      </c>
    </row>
    <row r="24">
      <c r="A24" t="s">
        <v>135</v>
      </c>
      <c r="B24" t="n">
        <v>6152136.52838709</v>
      </c>
      <c r="C24" t="n">
        <v>110430.376436765</v>
      </c>
      <c r="D24" t="n">
        <v>38947.63510403</v>
      </c>
      <c r="E24" t="n">
        <v>7328598.80633792</v>
      </c>
      <c r="F24" t="n">
        <v>22793.2295943752</v>
      </c>
      <c r="G24" t="n">
        <v>90327.4718223533</v>
      </c>
      <c r="H24" t="n">
        <v>7801749.99748054</v>
      </c>
      <c r="I24" t="n">
        <v>10440263.7145532</v>
      </c>
      <c r="J24" t="n">
        <v>1829850.71970896</v>
      </c>
      <c r="K24" t="n">
        <v>1385135.10148499</v>
      </c>
      <c r="L24" t="n">
        <v>8370528.9840763</v>
      </c>
      <c r="M24" t="n">
        <v>79286100.4843788</v>
      </c>
      <c r="N24" t="n">
        <v>5715744.47154477</v>
      </c>
      <c r="O24" t="n">
        <v>2964009.07425497</v>
      </c>
      <c r="P24" t="n">
        <v>281542181.164159</v>
      </c>
      <c r="Q24" t="n">
        <v>3539759.36268006</v>
      </c>
      <c r="R24" t="n">
        <v>2174932.22512445</v>
      </c>
      <c r="S24" t="n">
        <v>7487519.08573301</v>
      </c>
      <c r="T24" t="n">
        <v>19159815.952052</v>
      </c>
      <c r="U24" t="n">
        <v>83231.3382422825</v>
      </c>
      <c r="V24" t="n">
        <v>5228.73143188382</v>
      </c>
      <c r="W24" t="n">
        <v>5650345.37710033</v>
      </c>
      <c r="X24" t="n">
        <v>1325647.60385743</v>
      </c>
      <c r="Y24" t="n">
        <v>904492.558147435</v>
      </c>
      <c r="Z24" t="n">
        <v>1948060.7069268</v>
      </c>
      <c r="AA24" t="n">
        <v>2238734.98621906</v>
      </c>
      <c r="AB24" t="n">
        <v>37554660.4240043</v>
      </c>
      <c r="AC24" t="n">
        <v>16281436.7055341</v>
      </c>
      <c r="AD24" t="n">
        <v>7005660.49772306</v>
      </c>
      <c r="AE24" t="n">
        <v>1716924.33390757</v>
      </c>
      <c r="AF24" t="n">
        <v>14047632.0348135</v>
      </c>
      <c r="AG24" t="n">
        <v>0</v>
      </c>
      <c r="AH24" t="n">
        <v>395952.288193221</v>
      </c>
      <c r="AI24" t="n">
        <v>0</v>
      </c>
      <c r="AJ24" t="n">
        <v>29170399.1875539</v>
      </c>
      <c r="AK24" t="n">
        <v>2406520.11842338</v>
      </c>
      <c r="AL24" t="n">
        <v>2510.42999308211</v>
      </c>
      <c r="AM24" t="n">
        <v>312935.936146342</v>
      </c>
      <c r="AN24" t="n">
        <v>3903908.37497758</v>
      </c>
      <c r="AO24" t="n">
        <v>693774.731833031</v>
      </c>
      <c r="AP24" t="n">
        <v>101569.279483429</v>
      </c>
      <c r="AQ24" t="n">
        <v>3010408.93976772</v>
      </c>
      <c r="AR24" t="n">
        <v>664070.389492115</v>
      </c>
      <c r="AS24" t="n">
        <v>502848.835147685</v>
      </c>
      <c r="AT24" t="n">
        <v>55875.5786520682</v>
      </c>
      <c r="AU24" t="n">
        <v>0</v>
      </c>
      <c r="AV24" t="n">
        <v>0</v>
      </c>
      <c r="AW24" t="n">
        <v>0</v>
      </c>
      <c r="AX24" t="n">
        <v>0</v>
      </c>
      <c r="AY24" t="n">
        <v>2637045.38727608</v>
      </c>
      <c r="AZ24" t="n">
        <v>0</v>
      </c>
      <c r="BA24" t="n">
        <v>313345.783019386</v>
      </c>
      <c r="BB24" t="n">
        <v>12224465.1940622</v>
      </c>
      <c r="BC24" t="n">
        <v>4330564.82974926</v>
      </c>
      <c r="BD24" t="n">
        <v>39761489.7100589</v>
      </c>
      <c r="BE24" t="n">
        <v>5338916.67442734</v>
      </c>
      <c r="BF24" t="n">
        <v>1566006.79196842</v>
      </c>
      <c r="BG24" t="n">
        <v>3222563.88511389</v>
      </c>
      <c r="BH24" t="n">
        <v>9825083.89154015</v>
      </c>
      <c r="BI24" t="n">
        <v>822522.763315377</v>
      </c>
      <c r="BJ24" t="n">
        <v>13148921.0009735</v>
      </c>
      <c r="BK24" t="n">
        <v>255106.392041816</v>
      </c>
      <c r="BL24" t="n">
        <v>384157.806967225</v>
      </c>
      <c r="BM24" t="n">
        <v>457922.93425669</v>
      </c>
      <c r="BN24" t="n">
        <v>3466574.16666714</v>
      </c>
      <c r="BO24" t="n">
        <v>42478943.187743</v>
      </c>
      <c r="BP24" t="n">
        <v>6547433.30844353</v>
      </c>
      <c r="BQ24" t="n">
        <v>292648.984322651</v>
      </c>
      <c r="BR24" t="n">
        <v>7225748.92976757</v>
      </c>
      <c r="BS24" t="n">
        <v>28406092.2866423</v>
      </c>
      <c r="BT24" t="n">
        <v>3328584.04256944</v>
      </c>
      <c r="BU24" t="n">
        <v>956015992.714179</v>
      </c>
      <c r="BV24" t="n">
        <v>0</v>
      </c>
      <c r="BW24" t="n">
        <v>414170068.534032</v>
      </c>
      <c r="BX24" t="n">
        <v>0</v>
      </c>
      <c r="BY24" t="n">
        <v>0</v>
      </c>
      <c r="BZ24" t="n">
        <v>25197290.5740784</v>
      </c>
      <c r="CA24" t="n">
        <v>814475137.746985</v>
      </c>
      <c r="CB24" t="n">
        <v>0</v>
      </c>
      <c r="CC24" t="n">
        <v>0</v>
      </c>
      <c r="CD24" t="n">
        <v>0</v>
      </c>
      <c r="CE24" t="n">
        <v>5745078.64712939</v>
      </c>
      <c r="CF24" t="n">
        <v>0</v>
      </c>
      <c r="CG24" t="n">
        <v>0</v>
      </c>
      <c r="CH24" t="n">
        <v>0</v>
      </c>
      <c r="CI24" t="n">
        <v>1466074.44124043</v>
      </c>
      <c r="CJ24" t="n">
        <v>0</v>
      </c>
      <c r="CK24" t="n">
        <v>0</v>
      </c>
      <c r="CL24" t="n">
        <v>0</v>
      </c>
      <c r="CM24" t="n">
        <v>68538321.1854046</v>
      </c>
      <c r="CN24" t="n">
        <v>0</v>
      </c>
    </row>
    <row r="25">
      <c r="A25" t="s">
        <v>136</v>
      </c>
      <c r="B25" t="n">
        <v>0</v>
      </c>
      <c r="C25" t="n">
        <v>33762.8800425321</v>
      </c>
      <c r="D25" t="n">
        <v>0</v>
      </c>
      <c r="E25" t="n">
        <v>0</v>
      </c>
      <c r="F25" t="n">
        <v>0</v>
      </c>
      <c r="G25" t="n">
        <v>0</v>
      </c>
      <c r="H25" t="n">
        <v>164439.514280201</v>
      </c>
      <c r="I25" t="n">
        <v>141919.603386469</v>
      </c>
      <c r="J25" t="n">
        <v>0</v>
      </c>
      <c r="K25" t="n">
        <v>0</v>
      </c>
      <c r="L25" t="n">
        <v>850642.419119849</v>
      </c>
      <c r="M25" t="n">
        <v>2050031.94616222</v>
      </c>
      <c r="N25" t="n">
        <v>0</v>
      </c>
      <c r="O25" t="n">
        <v>0</v>
      </c>
      <c r="P25" t="n">
        <v>1422852.66411855</v>
      </c>
      <c r="Q25" t="n">
        <v>106405034.133263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99527.9349549388</v>
      </c>
      <c r="AD25" t="n">
        <v>0</v>
      </c>
      <c r="AE25" t="n">
        <v>0</v>
      </c>
      <c r="AF25" t="n">
        <v>0</v>
      </c>
      <c r="AG25" t="n">
        <v>13318001.4823465</v>
      </c>
      <c r="AH25" t="n">
        <v>11511488.7155885</v>
      </c>
      <c r="AI25" t="n">
        <v>6339038.51989943</v>
      </c>
      <c r="AJ25" t="n">
        <v>60808.1630053194</v>
      </c>
      <c r="AK25" t="n">
        <v>651536.434969877</v>
      </c>
      <c r="AL25" t="n">
        <v>0</v>
      </c>
      <c r="AM25" t="n">
        <v>8294423.69825492</v>
      </c>
      <c r="AN25" t="n">
        <v>0</v>
      </c>
      <c r="AO25" t="n">
        <v>0</v>
      </c>
      <c r="AP25" t="n">
        <v>0</v>
      </c>
      <c r="AQ25" t="n">
        <v>12661.7474154996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8664934.13512186</v>
      </c>
      <c r="BC25" t="n">
        <v>675803.325651758</v>
      </c>
      <c r="BD25" t="n">
        <v>360450.432931076</v>
      </c>
      <c r="BE25" t="n">
        <v>553950.126918965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120643.680484441</v>
      </c>
      <c r="BM25" t="n">
        <v>0</v>
      </c>
      <c r="BN25" t="n">
        <v>0</v>
      </c>
      <c r="BO25" t="n">
        <v>410890.32267624</v>
      </c>
      <c r="BP25" t="n">
        <v>66972664.3938589</v>
      </c>
      <c r="BQ25" t="n">
        <v>1436986.93636656</v>
      </c>
      <c r="BR25" t="n">
        <v>3179.54320318758</v>
      </c>
      <c r="BS25" t="n">
        <v>0</v>
      </c>
      <c r="BT25" t="n">
        <v>288281.137148331</v>
      </c>
      <c r="BU25" t="n">
        <v>123383166.525425</v>
      </c>
      <c r="BV25" t="n">
        <v>0</v>
      </c>
      <c r="BW25" t="n">
        <v>64401016.0681101</v>
      </c>
      <c r="BX25" t="n">
        <v>0</v>
      </c>
      <c r="BY25" t="n">
        <v>0</v>
      </c>
      <c r="BZ25" t="n">
        <v>196584083.69961</v>
      </c>
      <c r="CA25" t="n">
        <v>777653536.698293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345806.251873843</v>
      </c>
      <c r="CJ25" t="n">
        <v>0</v>
      </c>
      <c r="CK25" t="n">
        <v>0</v>
      </c>
      <c r="CL25" t="n">
        <v>0</v>
      </c>
      <c r="CM25" t="n">
        <v>801859.833846413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197413416.239343</v>
      </c>
      <c r="I26" t="n">
        <v>4993295.74680741</v>
      </c>
      <c r="J26" t="n">
        <v>0</v>
      </c>
      <c r="K26" t="n">
        <v>0</v>
      </c>
      <c r="L26" t="n">
        <v>0</v>
      </c>
      <c r="M26" t="n">
        <v>4450886.119367</v>
      </c>
      <c r="N26" t="n">
        <v>983679.290907011</v>
      </c>
      <c r="O26" t="n">
        <v>0</v>
      </c>
      <c r="P26" t="n">
        <v>80036.1381906466</v>
      </c>
      <c r="Q26" t="n">
        <v>682040.670654759</v>
      </c>
      <c r="R26" t="n">
        <v>24568513.3852719</v>
      </c>
      <c r="S26" t="n">
        <v>2884053.578529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3918782.66247718</v>
      </c>
      <c r="AB26" t="n">
        <v>1309554.44753217</v>
      </c>
      <c r="AC26" t="n">
        <v>496331.906713465</v>
      </c>
      <c r="AD26" t="n">
        <v>0</v>
      </c>
      <c r="AE26" t="n">
        <v>155727.304591922</v>
      </c>
      <c r="AF26" t="n">
        <v>1740496.8380358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10680.1491924538</v>
      </c>
      <c r="AP26" t="n">
        <v>0</v>
      </c>
      <c r="AQ26" t="n">
        <v>652013.555825927</v>
      </c>
      <c r="AR26" t="n">
        <v>1671439.70248975</v>
      </c>
      <c r="AS26" t="n">
        <v>0</v>
      </c>
      <c r="AT26" t="n">
        <v>0</v>
      </c>
      <c r="AU26" t="n">
        <v>0</v>
      </c>
      <c r="AV26" t="n">
        <v>0</v>
      </c>
      <c r="AW26" t="n">
        <v>14232015.4644999</v>
      </c>
      <c r="AX26" t="n">
        <v>478508.9859329</v>
      </c>
      <c r="AY26" t="n">
        <v>0</v>
      </c>
      <c r="AZ26" t="n">
        <v>89166.2131109443</v>
      </c>
      <c r="BA26" t="n">
        <v>29210.3451366385</v>
      </c>
      <c r="BB26" t="n">
        <v>593700.146091238</v>
      </c>
      <c r="BC26" t="n">
        <v>22427.7069842498</v>
      </c>
      <c r="BD26" t="n">
        <v>25484.6306853666</v>
      </c>
      <c r="BE26" t="n">
        <v>0</v>
      </c>
      <c r="BF26" t="n">
        <v>0</v>
      </c>
      <c r="BG26" t="n">
        <v>661048.876104858</v>
      </c>
      <c r="BH26" t="n">
        <v>1422395.36123508</v>
      </c>
      <c r="BI26" t="n">
        <v>18650.9752303823</v>
      </c>
      <c r="BJ26" t="n">
        <v>2528268.59423318</v>
      </c>
      <c r="BK26" t="n">
        <v>142687.334476935</v>
      </c>
      <c r="BL26" t="n">
        <v>560527.807097698</v>
      </c>
      <c r="BM26" t="n">
        <v>13970.5995594398</v>
      </c>
      <c r="BN26" t="n">
        <v>2317780.16992209</v>
      </c>
      <c r="BO26" t="n">
        <v>2036838.78618089</v>
      </c>
      <c r="BP26" t="n">
        <v>0</v>
      </c>
      <c r="BQ26" t="n">
        <v>0</v>
      </c>
      <c r="BR26" t="n">
        <v>475678.132344578</v>
      </c>
      <c r="BS26" t="n">
        <v>112469.789018758</v>
      </c>
      <c r="BT26" t="n">
        <v>3328397.6298348</v>
      </c>
      <c r="BU26" t="n">
        <v>239645192.822906</v>
      </c>
      <c r="BV26" t="n">
        <v>0</v>
      </c>
      <c r="BW26" t="n">
        <v>341814655.247214</v>
      </c>
      <c r="BX26" t="n">
        <v>0</v>
      </c>
      <c r="BY26" t="n">
        <v>4369883.19968497</v>
      </c>
      <c r="BZ26" t="n">
        <v>13017325.1270938</v>
      </c>
      <c r="CA26" t="n">
        <v>68414381.6188695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118389.85865309</v>
      </c>
      <c r="CJ26" t="n">
        <v>0</v>
      </c>
      <c r="CK26" t="n">
        <v>0</v>
      </c>
      <c r="CL26" t="n">
        <v>0</v>
      </c>
      <c r="CM26" t="n">
        <v>15412388.3950468</v>
      </c>
      <c r="CN26" t="n">
        <v>0</v>
      </c>
    </row>
    <row r="27">
      <c r="A27" t="s">
        <v>138</v>
      </c>
      <c r="B27" t="n">
        <v>1467976.44384589</v>
      </c>
      <c r="C27" t="n">
        <v>0</v>
      </c>
      <c r="D27" t="n">
        <v>1432.63113161981</v>
      </c>
      <c r="E27" t="n">
        <v>310914.423029772</v>
      </c>
      <c r="F27" t="n">
        <v>1358.64560669383</v>
      </c>
      <c r="G27" t="n">
        <v>0</v>
      </c>
      <c r="H27" t="n">
        <v>10424792.0783724</v>
      </c>
      <c r="I27" t="n">
        <v>338957.909875175</v>
      </c>
      <c r="J27" t="n">
        <v>617322.28362711</v>
      </c>
      <c r="K27" t="n">
        <v>169879.918072462</v>
      </c>
      <c r="L27" t="n">
        <v>684454.29505179</v>
      </c>
      <c r="M27" t="n">
        <v>18195541.6004816</v>
      </c>
      <c r="N27" t="n">
        <v>16979.0395592682</v>
      </c>
      <c r="O27" t="n">
        <v>3050799.28140387</v>
      </c>
      <c r="P27" t="n">
        <v>3993492.16789242</v>
      </c>
      <c r="Q27" t="n">
        <v>68919.9862705887</v>
      </c>
      <c r="R27" t="n">
        <v>125382.724772511</v>
      </c>
      <c r="S27" t="n">
        <v>133982770.523928</v>
      </c>
      <c r="T27" t="n">
        <v>758183.327082014</v>
      </c>
      <c r="U27" t="n">
        <v>22384.4859315581</v>
      </c>
      <c r="V27" t="n">
        <v>527617.768280258</v>
      </c>
      <c r="W27" t="n">
        <v>0</v>
      </c>
      <c r="X27" t="n">
        <v>63381.9814409503</v>
      </c>
      <c r="Y27" t="n">
        <v>20484.7952409093</v>
      </c>
      <c r="Z27" t="n">
        <v>1027980.87954839</v>
      </c>
      <c r="AA27" t="n">
        <v>1433819.34297487</v>
      </c>
      <c r="AB27" t="n">
        <v>7240477.48559563</v>
      </c>
      <c r="AC27" t="n">
        <v>1074979.7350533</v>
      </c>
      <c r="AD27" t="n">
        <v>617624.828987035</v>
      </c>
      <c r="AE27" t="n">
        <v>81535.0789464672</v>
      </c>
      <c r="AF27" t="n">
        <v>4107069.84879522</v>
      </c>
      <c r="AG27" t="n">
        <v>0</v>
      </c>
      <c r="AH27" t="n">
        <v>14908.403561121</v>
      </c>
      <c r="AI27" t="n">
        <v>0</v>
      </c>
      <c r="AJ27" t="n">
        <v>44376.7458597559</v>
      </c>
      <c r="AK27" t="n">
        <v>152512.460464289</v>
      </c>
      <c r="AL27" t="n">
        <v>3780.91043439522</v>
      </c>
      <c r="AM27" t="n">
        <v>661236.416929101</v>
      </c>
      <c r="AN27" t="n">
        <v>419566.547473181</v>
      </c>
      <c r="AO27" t="n">
        <v>19172.1249401488</v>
      </c>
      <c r="AP27" t="n">
        <v>1912.14428240949</v>
      </c>
      <c r="AQ27" t="n">
        <v>505137.729246532</v>
      </c>
      <c r="AR27" t="n">
        <v>284523.630059678</v>
      </c>
      <c r="AS27" t="n">
        <v>441776.405197764</v>
      </c>
      <c r="AT27" t="n">
        <v>107103.992148354</v>
      </c>
      <c r="AU27" t="n">
        <v>76744.3274853441</v>
      </c>
      <c r="AV27" t="n">
        <v>0</v>
      </c>
      <c r="AW27" t="n">
        <v>0</v>
      </c>
      <c r="AX27" t="n">
        <v>570841.108748188</v>
      </c>
      <c r="AY27" t="n">
        <v>131946.958461406</v>
      </c>
      <c r="AZ27" t="n">
        <v>80031.9240582719</v>
      </c>
      <c r="BA27" t="n">
        <v>166047.358075979</v>
      </c>
      <c r="BB27" t="n">
        <v>8765889.5344768</v>
      </c>
      <c r="BC27" t="n">
        <v>140911.308855511</v>
      </c>
      <c r="BD27" t="n">
        <v>9004713.97790757</v>
      </c>
      <c r="BE27" t="n">
        <v>2487773.68405033</v>
      </c>
      <c r="BF27" t="n">
        <v>1321102.55140465</v>
      </c>
      <c r="BG27" t="n">
        <v>156532392.278868</v>
      </c>
      <c r="BH27" t="n">
        <v>170686511.244502</v>
      </c>
      <c r="BI27" t="n">
        <v>4720778.12313218</v>
      </c>
      <c r="BJ27" t="n">
        <v>10370035.5327393</v>
      </c>
      <c r="BK27" t="n">
        <v>369143.749440297</v>
      </c>
      <c r="BL27" t="n">
        <v>1140375.17803504</v>
      </c>
      <c r="BM27" t="n">
        <v>175552.094630038</v>
      </c>
      <c r="BN27" t="n">
        <v>1020091.51497385</v>
      </c>
      <c r="BO27" t="n">
        <v>11539798.65249</v>
      </c>
      <c r="BP27" t="n">
        <v>2256113.68999877</v>
      </c>
      <c r="BQ27" t="n">
        <v>851109.278070185</v>
      </c>
      <c r="BR27" t="n">
        <v>0</v>
      </c>
      <c r="BS27" t="n">
        <v>25136115.4812919</v>
      </c>
      <c r="BT27" t="n">
        <v>270491.900015991</v>
      </c>
      <c r="BU27" t="n">
        <v>291032459.627964</v>
      </c>
      <c r="BV27" t="n">
        <v>0</v>
      </c>
      <c r="BW27" t="n">
        <v>961942260.566851</v>
      </c>
      <c r="BX27" t="n">
        <v>0</v>
      </c>
      <c r="BY27" t="n">
        <v>0</v>
      </c>
      <c r="BZ27" t="n">
        <v>62794119.1462438</v>
      </c>
      <c r="CA27" t="n">
        <v>1214656924.06423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175483.264035778</v>
      </c>
      <c r="CJ27" t="n">
        <v>0</v>
      </c>
      <c r="CK27" t="n">
        <v>0</v>
      </c>
      <c r="CL27" t="n">
        <v>0</v>
      </c>
      <c r="CM27" t="n">
        <v>10111548.1047751</v>
      </c>
      <c r="CN27" t="n">
        <v>0</v>
      </c>
    </row>
    <row r="28">
      <c r="A28" t="s">
        <v>139</v>
      </c>
      <c r="B28" t="n">
        <v>417340706.215888</v>
      </c>
      <c r="C28" t="n">
        <v>668400.78353382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371513.385379712</v>
      </c>
      <c r="J28" t="n">
        <v>3164376.26406928</v>
      </c>
      <c r="K28" t="n">
        <v>33515.309995234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146753.414087741</v>
      </c>
      <c r="T28" t="n">
        <v>1700921802.05471</v>
      </c>
      <c r="U28" t="n">
        <v>48578.1540838824</v>
      </c>
      <c r="V28" t="n">
        <v>1297275.70018357</v>
      </c>
      <c r="W28" t="n">
        <v>3631561.03405024</v>
      </c>
      <c r="X28" t="n">
        <v>7971631.21093392</v>
      </c>
      <c r="Y28" t="n">
        <v>3788821.11890015</v>
      </c>
      <c r="Z28" t="n">
        <v>14509949.919094</v>
      </c>
      <c r="AA28" t="n">
        <v>1546976.45270708</v>
      </c>
      <c r="AB28" t="n">
        <v>25786504.806925</v>
      </c>
      <c r="AC28" t="n">
        <v>9553.1918752847</v>
      </c>
      <c r="AD28" t="n">
        <v>22136104.2794678</v>
      </c>
      <c r="AE28" t="n">
        <v>8950661.14465404</v>
      </c>
      <c r="AF28" t="n">
        <v>14357968.4503675</v>
      </c>
      <c r="AG28" t="n">
        <v>4800363.25681973</v>
      </c>
      <c r="AH28" t="n">
        <v>29412.5269516491</v>
      </c>
      <c r="AI28" t="n">
        <v>3132572.42352362</v>
      </c>
      <c r="AJ28" t="n">
        <v>196987.726661655</v>
      </c>
      <c r="AK28" t="n">
        <v>0</v>
      </c>
      <c r="AL28" t="n">
        <v>0</v>
      </c>
      <c r="AM28" t="n">
        <v>41634.3091643642</v>
      </c>
      <c r="AN28" t="n">
        <v>0</v>
      </c>
      <c r="AO28" t="n">
        <v>217489.999882363</v>
      </c>
      <c r="AP28" t="n">
        <v>24520.8326681681</v>
      </c>
      <c r="AQ28" t="n">
        <v>0</v>
      </c>
      <c r="AR28" t="n">
        <v>506048.997639737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42166339.8412684</v>
      </c>
      <c r="BC28" t="n">
        <v>1409864.44959637</v>
      </c>
      <c r="BD28" t="n">
        <v>0</v>
      </c>
      <c r="BE28" t="n">
        <v>0</v>
      </c>
      <c r="BF28" t="n">
        <v>38695947.9936714</v>
      </c>
      <c r="BG28" t="n">
        <v>58528.5424289217</v>
      </c>
      <c r="BH28" t="n">
        <v>70177075.1865475</v>
      </c>
      <c r="BI28" t="n">
        <v>73946865.9279139</v>
      </c>
      <c r="BJ28" t="n">
        <v>209911553.394793</v>
      </c>
      <c r="BK28" t="n">
        <v>7580028.05409354</v>
      </c>
      <c r="BL28" t="n">
        <v>40372798.7698858</v>
      </c>
      <c r="BM28" t="n">
        <v>38301895.4534957</v>
      </c>
      <c r="BN28" t="n">
        <v>490936175.080239</v>
      </c>
      <c r="BO28" t="n">
        <v>11354707.4996221</v>
      </c>
      <c r="BP28" t="n">
        <v>7848792.77403339</v>
      </c>
      <c r="BQ28" t="n">
        <v>224884.622215818</v>
      </c>
      <c r="BR28" t="n">
        <v>3117501.05286681</v>
      </c>
      <c r="BS28" t="n">
        <v>491464751.110916</v>
      </c>
      <c r="BT28" t="n">
        <v>0</v>
      </c>
      <c r="BU28" t="n">
        <v>4729148936.88346</v>
      </c>
      <c r="BV28" t="n">
        <v>0</v>
      </c>
      <c r="BW28" t="n">
        <v>0</v>
      </c>
      <c r="BX28" t="n">
        <v>0</v>
      </c>
      <c r="BY28" t="n">
        <v>0</v>
      </c>
      <c r="BZ28" t="n">
        <v>152862607.796686</v>
      </c>
      <c r="CA28" t="n">
        <v>1578499270.47667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134484.221254844</v>
      </c>
      <c r="C29" t="n">
        <v>15307.1752954143</v>
      </c>
      <c r="D29" t="n">
        <v>0</v>
      </c>
      <c r="E29" t="n">
        <v>0</v>
      </c>
      <c r="F29" t="n">
        <v>0</v>
      </c>
      <c r="G29" t="n">
        <v>0</v>
      </c>
      <c r="H29" t="n">
        <v>5297389.46704734</v>
      </c>
      <c r="I29" t="n">
        <v>2319672.61462781</v>
      </c>
      <c r="J29" t="n">
        <v>770928.508470072</v>
      </c>
      <c r="K29" t="n">
        <v>0</v>
      </c>
      <c r="L29" t="n">
        <v>5650.6700653924</v>
      </c>
      <c r="M29" t="n">
        <v>3295704.83979343</v>
      </c>
      <c r="N29" t="n">
        <v>12054.9959423796</v>
      </c>
      <c r="O29" t="n">
        <v>0</v>
      </c>
      <c r="P29" t="n">
        <v>2547874.43251168</v>
      </c>
      <c r="Q29" t="n">
        <v>1065005.70277717</v>
      </c>
      <c r="R29" t="n">
        <v>6865731.71455994</v>
      </c>
      <c r="S29" t="n">
        <v>18294428.5117248</v>
      </c>
      <c r="T29" t="n">
        <v>457960.721705351</v>
      </c>
      <c r="U29" t="n">
        <v>9203534.36723682</v>
      </c>
      <c r="V29" t="n">
        <v>2093873.20959841</v>
      </c>
      <c r="W29" t="n">
        <v>14496661.7667728</v>
      </c>
      <c r="X29" t="n">
        <v>1788779.84678315</v>
      </c>
      <c r="Y29" t="n">
        <v>54540.2147117123</v>
      </c>
      <c r="Z29" t="n">
        <v>10963.5476509829</v>
      </c>
      <c r="AA29" t="n">
        <v>4310599.75784875</v>
      </c>
      <c r="AB29" t="n">
        <v>5749891.70988208</v>
      </c>
      <c r="AC29" t="n">
        <v>158146.3171962</v>
      </c>
      <c r="AD29" t="n">
        <v>190020.64704093</v>
      </c>
      <c r="AE29" t="n">
        <v>281176.694717619</v>
      </c>
      <c r="AF29" t="n">
        <v>3858170.88017037</v>
      </c>
      <c r="AG29" t="n">
        <v>0</v>
      </c>
      <c r="AH29" t="n">
        <v>0</v>
      </c>
      <c r="AI29" t="n">
        <v>179764.594134266</v>
      </c>
      <c r="AJ29" t="n">
        <v>78767.9258016916</v>
      </c>
      <c r="AK29" t="n">
        <v>0</v>
      </c>
      <c r="AL29" t="n">
        <v>1342.20960455491</v>
      </c>
      <c r="AM29" t="n">
        <v>122362.66946781</v>
      </c>
      <c r="AN29" t="n">
        <v>4025.5301406248</v>
      </c>
      <c r="AO29" t="n">
        <v>3403.01769651819</v>
      </c>
      <c r="AP29" t="n">
        <v>130330.433743432</v>
      </c>
      <c r="AQ29" t="n">
        <v>10934.2729841122</v>
      </c>
      <c r="AR29" t="n">
        <v>7651.8837318725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297214.925820748</v>
      </c>
      <c r="AY29" t="n">
        <v>134666.999994732</v>
      </c>
      <c r="AZ29" t="n">
        <v>0</v>
      </c>
      <c r="BA29" t="n">
        <v>0</v>
      </c>
      <c r="BB29" t="n">
        <v>851268.489068156</v>
      </c>
      <c r="BC29" t="n">
        <v>85753.7276505309</v>
      </c>
      <c r="BD29" t="n">
        <v>73081.5486599462</v>
      </c>
      <c r="BE29" t="n">
        <v>34695.2064446348</v>
      </c>
      <c r="BF29" t="n">
        <v>112211.530673474</v>
      </c>
      <c r="BG29" t="n">
        <v>101102.453897753</v>
      </c>
      <c r="BH29" t="n">
        <v>263298.115846059</v>
      </c>
      <c r="BI29" t="n">
        <v>1259865.82172144</v>
      </c>
      <c r="BJ29" t="n">
        <v>1297362.73784006</v>
      </c>
      <c r="BK29" t="n">
        <v>0</v>
      </c>
      <c r="BL29" t="n">
        <v>1369274.85091408</v>
      </c>
      <c r="BM29" t="n">
        <v>471854.170532136</v>
      </c>
      <c r="BN29" t="n">
        <v>219558.417589675</v>
      </c>
      <c r="BO29" t="n">
        <v>889368.010546731</v>
      </c>
      <c r="BP29" t="n">
        <v>855936.750248483</v>
      </c>
      <c r="BQ29" t="n">
        <v>273365.424496056</v>
      </c>
      <c r="BR29" t="n">
        <v>6589.80007246838</v>
      </c>
      <c r="BS29" t="n">
        <v>2601713.01338841</v>
      </c>
      <c r="BT29" t="n">
        <v>4267.71784739129</v>
      </c>
      <c r="BU29" t="n">
        <v>32415686.7803437</v>
      </c>
      <c r="BV29" t="n">
        <v>0</v>
      </c>
      <c r="BW29" t="n">
        <v>1610395.11508966</v>
      </c>
      <c r="BX29" t="n">
        <v>0</v>
      </c>
      <c r="BY29" t="n">
        <v>864000.92239255</v>
      </c>
      <c r="BZ29" t="n">
        <v>1937105.14035124</v>
      </c>
      <c r="CA29" t="n">
        <v>149287454.214955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57163.479563859</v>
      </c>
      <c r="CJ29" t="n">
        <v>0</v>
      </c>
      <c r="CK29" t="n">
        <v>0</v>
      </c>
      <c r="CL29" t="n">
        <v>0</v>
      </c>
      <c r="CM29" t="n">
        <v>14972.1093084628</v>
      </c>
      <c r="CN29" t="n">
        <v>0</v>
      </c>
    </row>
    <row r="30">
      <c r="A30" t="s">
        <v>141</v>
      </c>
      <c r="B30" t="n">
        <v>230438.792507739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170420.517164649</v>
      </c>
      <c r="Q30" t="n">
        <v>0</v>
      </c>
      <c r="R30" t="n">
        <v>0</v>
      </c>
      <c r="S30" t="n">
        <v>1281411.08258711</v>
      </c>
      <c r="T30" t="n">
        <v>4130.08403674493</v>
      </c>
      <c r="U30" t="n">
        <v>91500.7405962177</v>
      </c>
      <c r="V30" t="n">
        <v>893849.621088972</v>
      </c>
      <c r="W30" t="n">
        <v>0</v>
      </c>
      <c r="X30" t="n">
        <v>1561453.46663774</v>
      </c>
      <c r="Y30" t="n">
        <v>0</v>
      </c>
      <c r="Z30" t="n">
        <v>0</v>
      </c>
      <c r="AA30" t="n">
        <v>4088.31101273239</v>
      </c>
      <c r="AB30" t="n">
        <v>1681636.10722679</v>
      </c>
      <c r="AC30" t="n">
        <v>31811.1426631475</v>
      </c>
      <c r="AD30" t="n">
        <v>0</v>
      </c>
      <c r="AE30" t="n">
        <v>820470.983377273</v>
      </c>
      <c r="AF30" t="n">
        <v>640662.018020892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10495.9310972831</v>
      </c>
      <c r="AP30" t="n">
        <v>25123.643454927</v>
      </c>
      <c r="AQ30" t="n">
        <v>87683.9334363808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116780.569287047</v>
      </c>
      <c r="AZ30" t="n">
        <v>0</v>
      </c>
      <c r="BA30" t="n">
        <v>0</v>
      </c>
      <c r="BB30" t="n">
        <v>51863.0776366844</v>
      </c>
      <c r="BC30" t="n">
        <v>44081.7188851754</v>
      </c>
      <c r="BD30" t="n">
        <v>244884.985682942</v>
      </c>
      <c r="BE30" t="n">
        <v>262662.043343584</v>
      </c>
      <c r="BF30" t="n">
        <v>124238.923231493</v>
      </c>
      <c r="BG30" t="n">
        <v>69295.6457742906</v>
      </c>
      <c r="BH30" t="n">
        <v>97628.3851717577</v>
      </c>
      <c r="BI30" t="n">
        <v>0</v>
      </c>
      <c r="BJ30" t="n">
        <v>154087.403931511</v>
      </c>
      <c r="BK30" t="n">
        <v>255706.547827645</v>
      </c>
      <c r="BL30" t="n">
        <v>42844.6248453352</v>
      </c>
      <c r="BM30" t="n">
        <v>13729.6256560929</v>
      </c>
      <c r="BN30" t="n">
        <v>49836.0711312586</v>
      </c>
      <c r="BO30" t="n">
        <v>3551527.89206716</v>
      </c>
      <c r="BP30" t="n">
        <v>54774.817797562</v>
      </c>
      <c r="BQ30" t="n">
        <v>16640.9461034305</v>
      </c>
      <c r="BR30" t="n">
        <v>321811.34995494</v>
      </c>
      <c r="BS30" t="n">
        <v>1683737.85984102</v>
      </c>
      <c r="BT30" t="n">
        <v>68008.454572322</v>
      </c>
      <c r="BU30" t="n">
        <v>32245195.1330704</v>
      </c>
      <c r="BV30" t="n">
        <v>0</v>
      </c>
      <c r="BW30" t="n">
        <v>0</v>
      </c>
      <c r="BX30" t="n">
        <v>0</v>
      </c>
      <c r="BY30" t="n">
        <v>0</v>
      </c>
      <c r="BZ30" t="n">
        <v>1036582.60159682</v>
      </c>
      <c r="CA30" t="n">
        <v>46268117.9864909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4313442.7993779</v>
      </c>
      <c r="C31" t="n">
        <v>0</v>
      </c>
      <c r="D31" t="n">
        <v>6063.9940672191</v>
      </c>
      <c r="E31" t="n">
        <v>2684697.88008076</v>
      </c>
      <c r="F31" t="n">
        <v>6993.00996564371</v>
      </c>
      <c r="G31" t="n">
        <v>202691.331859042</v>
      </c>
      <c r="H31" t="n">
        <v>25791680.9368691</v>
      </c>
      <c r="I31" t="n">
        <v>19053213.3900816</v>
      </c>
      <c r="J31" t="n">
        <v>16439386.5633392</v>
      </c>
      <c r="K31" t="n">
        <v>8801320.66193196</v>
      </c>
      <c r="L31" t="n">
        <v>31386085.8285618</v>
      </c>
      <c r="M31" t="n">
        <v>29476134.430495</v>
      </c>
      <c r="N31" t="n">
        <v>10573267.4997789</v>
      </c>
      <c r="O31" t="n">
        <v>12362607.8882266</v>
      </c>
      <c r="P31" t="n">
        <v>15248829.5120889</v>
      </c>
      <c r="Q31" t="n">
        <v>1931544.54719849</v>
      </c>
      <c r="R31" t="n">
        <v>20029217.5066469</v>
      </c>
      <c r="S31" t="n">
        <v>58003954.9917199</v>
      </c>
      <c r="T31" t="n">
        <v>250031262.332898</v>
      </c>
      <c r="U31" t="n">
        <v>1587223.82139728</v>
      </c>
      <c r="V31" t="n">
        <v>103997.664736176</v>
      </c>
      <c r="W31" t="n">
        <v>506883317.753273</v>
      </c>
      <c r="X31" t="n">
        <v>204623415.716466</v>
      </c>
      <c r="Y31" t="n">
        <v>3610494.86372773</v>
      </c>
      <c r="Z31" t="n">
        <v>26680909.1168171</v>
      </c>
      <c r="AA31" t="n">
        <v>45597332.1028403</v>
      </c>
      <c r="AB31" t="n">
        <v>63738331.3875098</v>
      </c>
      <c r="AC31" t="n">
        <v>1406853.7775646</v>
      </c>
      <c r="AD31" t="n">
        <v>11063557.2901214</v>
      </c>
      <c r="AE31" t="n">
        <v>4366248.47859337</v>
      </c>
      <c r="AF31" t="n">
        <v>9820513.08374255</v>
      </c>
      <c r="AG31" t="n">
        <v>573560.514598236</v>
      </c>
      <c r="AH31" t="n">
        <v>1347897.20293082</v>
      </c>
      <c r="AI31" t="n">
        <v>34875.7704647468</v>
      </c>
      <c r="AJ31" t="n">
        <v>2231496.84102151</v>
      </c>
      <c r="AK31" t="n">
        <v>15092193.4655942</v>
      </c>
      <c r="AL31" t="n">
        <v>268862.389863421</v>
      </c>
      <c r="AM31" t="n">
        <v>11533684.4613368</v>
      </c>
      <c r="AN31" t="n">
        <v>1238349.46087927</v>
      </c>
      <c r="AO31" t="n">
        <v>14295585.1129124</v>
      </c>
      <c r="AP31" t="n">
        <v>130146.078609288</v>
      </c>
      <c r="AQ31" t="n">
        <v>1927446.34313211</v>
      </c>
      <c r="AR31" t="n">
        <v>1020389.43087259</v>
      </c>
      <c r="AS31" t="n">
        <v>9168032.40217403</v>
      </c>
      <c r="AT31" t="n">
        <v>2797794.09395224</v>
      </c>
      <c r="AU31" t="n">
        <v>12603825.847524</v>
      </c>
      <c r="AV31" t="n">
        <v>38988.4262045695</v>
      </c>
      <c r="AW31" t="n">
        <v>0</v>
      </c>
      <c r="AX31" t="n">
        <v>4694404.33031329</v>
      </c>
      <c r="AY31" t="n">
        <v>2449584.32567028</v>
      </c>
      <c r="AZ31" t="n">
        <v>2837424.47170653</v>
      </c>
      <c r="BA31" t="n">
        <v>4421232.32894267</v>
      </c>
      <c r="BB31" t="n">
        <v>23051827.9977361</v>
      </c>
      <c r="BC31" t="n">
        <v>22228644.3867362</v>
      </c>
      <c r="BD31" t="n">
        <v>36721939.0512673</v>
      </c>
      <c r="BE31" t="n">
        <v>3131972.48521849</v>
      </c>
      <c r="BF31" t="n">
        <v>2124243.30418356</v>
      </c>
      <c r="BG31" t="n">
        <v>14176513.9354029</v>
      </c>
      <c r="BH31" t="n">
        <v>17453066.7876975</v>
      </c>
      <c r="BI31" t="n">
        <v>12533362.29355</v>
      </c>
      <c r="BJ31" t="n">
        <v>15600779.689691</v>
      </c>
      <c r="BK31" t="n">
        <v>589285.54669983</v>
      </c>
      <c r="BL31" t="n">
        <v>1328828.9183556</v>
      </c>
      <c r="BM31" t="n">
        <v>17063036.6295812</v>
      </c>
      <c r="BN31" t="n">
        <v>35249648.1319888</v>
      </c>
      <c r="BO31" t="n">
        <v>8961655.6262853</v>
      </c>
      <c r="BP31" t="n">
        <v>927259.261749336</v>
      </c>
      <c r="BQ31" t="n">
        <v>9474699.76186063</v>
      </c>
      <c r="BR31" t="n">
        <v>825015.235229188</v>
      </c>
      <c r="BS31" t="n">
        <v>102898380.061198</v>
      </c>
      <c r="BT31" t="n">
        <v>207613.836051861</v>
      </c>
      <c r="BU31" t="n">
        <v>165621552.562739</v>
      </c>
      <c r="BV31" t="n">
        <v>0</v>
      </c>
      <c r="BW31" t="n">
        <v>0</v>
      </c>
      <c r="BX31" t="n">
        <v>0</v>
      </c>
      <c r="BY31" t="n">
        <v>0</v>
      </c>
      <c r="BZ31" t="n">
        <v>19165050.382874</v>
      </c>
      <c r="CA31" t="n">
        <v>768394546.596804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311327.968192267</v>
      </c>
      <c r="C32" t="n">
        <v>0</v>
      </c>
      <c r="D32" t="n">
        <v>845.276054443212</v>
      </c>
      <c r="E32" t="n">
        <v>58964.3518415792</v>
      </c>
      <c r="F32" t="n">
        <v>0</v>
      </c>
      <c r="G32" t="n">
        <v>96319.3531609003</v>
      </c>
      <c r="H32" t="n">
        <v>332475.658773508</v>
      </c>
      <c r="I32" t="n">
        <v>114280.440615447</v>
      </c>
      <c r="J32" t="n">
        <v>0</v>
      </c>
      <c r="K32" t="n">
        <v>0</v>
      </c>
      <c r="L32" t="n">
        <v>217348.75352618</v>
      </c>
      <c r="M32" t="n">
        <v>98154.7006638312</v>
      </c>
      <c r="N32" t="n">
        <v>0</v>
      </c>
      <c r="O32" t="n">
        <v>34034.0297375218</v>
      </c>
      <c r="P32" t="n">
        <v>19816.4117824411</v>
      </c>
      <c r="Q32" t="n">
        <v>0</v>
      </c>
      <c r="R32" t="n">
        <v>0</v>
      </c>
      <c r="S32" t="n">
        <v>0</v>
      </c>
      <c r="T32" t="n">
        <v>858436.308621574</v>
      </c>
      <c r="U32" t="n">
        <v>0</v>
      </c>
      <c r="V32" t="n">
        <v>11947.6710496606</v>
      </c>
      <c r="W32" t="n">
        <v>0</v>
      </c>
      <c r="X32" t="n">
        <v>48225350.8851083</v>
      </c>
      <c r="Y32" t="n">
        <v>31079.2316989944</v>
      </c>
      <c r="Z32" t="n">
        <v>870184.042838091</v>
      </c>
      <c r="AA32" t="n">
        <v>0</v>
      </c>
      <c r="AB32" t="n">
        <v>172784228.477748</v>
      </c>
      <c r="AC32" t="n">
        <v>2777011.95614648</v>
      </c>
      <c r="AD32" t="n">
        <v>2420716.00366378</v>
      </c>
      <c r="AE32" t="n">
        <v>2880532.02108882</v>
      </c>
      <c r="AF32" t="n">
        <v>64834920.0148203</v>
      </c>
      <c r="AG32" t="n">
        <v>163163.481735797</v>
      </c>
      <c r="AH32" t="n">
        <v>226188.118108632</v>
      </c>
      <c r="AI32" t="n">
        <v>0</v>
      </c>
      <c r="AJ32" t="n">
        <v>3820849.79543914</v>
      </c>
      <c r="AK32" t="n">
        <v>1524449.61790686</v>
      </c>
      <c r="AL32" t="n">
        <v>45890.7360476008</v>
      </c>
      <c r="AM32" t="n">
        <v>2262577.2611261</v>
      </c>
      <c r="AN32" t="n">
        <v>103225.983021669</v>
      </c>
      <c r="AO32" t="n">
        <v>48940000.601916</v>
      </c>
      <c r="AP32" t="n">
        <v>2184511.23360032</v>
      </c>
      <c r="AQ32" t="n">
        <v>3785206.92002582</v>
      </c>
      <c r="AR32" t="n">
        <v>26397585.7864049</v>
      </c>
      <c r="AS32" t="n">
        <v>15655281.4905113</v>
      </c>
      <c r="AT32" t="n">
        <v>13313115.1379797</v>
      </c>
      <c r="AU32" t="n">
        <v>71394288.3710343</v>
      </c>
      <c r="AV32" t="n">
        <v>0</v>
      </c>
      <c r="AW32" t="n">
        <v>0</v>
      </c>
      <c r="AX32" t="n">
        <v>849575.174899684</v>
      </c>
      <c r="AY32" t="n">
        <v>1961842.35422275</v>
      </c>
      <c r="AZ32" t="n">
        <v>7661807.99105304</v>
      </c>
      <c r="BA32" t="n">
        <v>4004275.5838002</v>
      </c>
      <c r="BB32" t="n">
        <v>72992178.1115687</v>
      </c>
      <c r="BC32" t="n">
        <v>28586586.8167663</v>
      </c>
      <c r="BD32" t="n">
        <v>28792777.9884313</v>
      </c>
      <c r="BE32" t="n">
        <v>202200.74162316</v>
      </c>
      <c r="BF32" t="n">
        <v>8214176.61165762</v>
      </c>
      <c r="BG32" t="n">
        <v>28338044.4528525</v>
      </c>
      <c r="BH32" t="n">
        <v>65949067.1311225</v>
      </c>
      <c r="BI32" t="n">
        <v>3149378.1699033</v>
      </c>
      <c r="BJ32" t="n">
        <v>34869401.7308664</v>
      </c>
      <c r="BK32" t="n">
        <v>7795113.81560442</v>
      </c>
      <c r="BL32" t="n">
        <v>2544353.73429854</v>
      </c>
      <c r="BM32" t="n">
        <v>3671757.03769046</v>
      </c>
      <c r="BN32" t="n">
        <v>10955539.0923521</v>
      </c>
      <c r="BO32" t="n">
        <v>17478662.4792</v>
      </c>
      <c r="BP32" t="n">
        <v>2179932.9667662</v>
      </c>
      <c r="BQ32" t="n">
        <v>9446405.25245486</v>
      </c>
      <c r="BR32" t="n">
        <v>401330.159197783</v>
      </c>
      <c r="BS32" t="n">
        <v>112570553.602682</v>
      </c>
      <c r="BT32" t="n">
        <v>3529322.64521652</v>
      </c>
      <c r="BU32" t="n">
        <v>28583086.7548466</v>
      </c>
      <c r="BV32" t="n">
        <v>0</v>
      </c>
      <c r="BW32" t="n">
        <v>0</v>
      </c>
      <c r="BX32" t="n">
        <v>0</v>
      </c>
      <c r="BY32" t="n">
        <v>0</v>
      </c>
      <c r="BZ32" t="n">
        <v>5963463.03615966</v>
      </c>
      <c r="CA32" t="n">
        <v>54343922.577959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143343835.702056</v>
      </c>
      <c r="C33" t="n">
        <v>1263698.21842131</v>
      </c>
      <c r="D33" t="n">
        <v>514331.049851413</v>
      </c>
      <c r="E33" t="n">
        <v>74500856.4476393</v>
      </c>
      <c r="F33" t="n">
        <v>337245.630391083</v>
      </c>
      <c r="G33" t="n">
        <v>139700186.35647</v>
      </c>
      <c r="H33" t="n">
        <v>552766312.854884</v>
      </c>
      <c r="I33" t="n">
        <v>17860879.9289668</v>
      </c>
      <c r="J33" t="n">
        <v>7768357.22952954</v>
      </c>
      <c r="K33" t="n">
        <v>12519120.0395486</v>
      </c>
      <c r="L33" t="n">
        <v>14758248.7638298</v>
      </c>
      <c r="M33" t="n">
        <v>14026297.3873248</v>
      </c>
      <c r="N33" t="n">
        <v>3098726.71772942</v>
      </c>
      <c r="O33" t="n">
        <v>8800545.96422197</v>
      </c>
      <c r="P33" t="n">
        <v>1818244.36847595</v>
      </c>
      <c r="Q33" t="n">
        <v>772292.625272056</v>
      </c>
      <c r="R33" t="n">
        <v>5303114.72503973</v>
      </c>
      <c r="S33" t="n">
        <v>37456604.4614352</v>
      </c>
      <c r="T33" t="n">
        <v>43324721.5598413</v>
      </c>
      <c r="U33" t="n">
        <v>345903.298713455</v>
      </c>
      <c r="V33" t="n">
        <v>41961.8078379064</v>
      </c>
      <c r="W33" t="n">
        <v>19409473.797394</v>
      </c>
      <c r="X33" t="n">
        <v>17731059.8623872</v>
      </c>
      <c r="Y33" t="n">
        <v>259132522.447478</v>
      </c>
      <c r="Z33" t="n">
        <v>39624833.7757835</v>
      </c>
      <c r="AA33" t="n">
        <v>10385879.8541307</v>
      </c>
      <c r="AB33" t="n">
        <v>62757234.5080778</v>
      </c>
      <c r="AC33" t="n">
        <v>9972553.65812729</v>
      </c>
      <c r="AD33" t="n">
        <v>5869037.09752481</v>
      </c>
      <c r="AE33" t="n">
        <v>3677429.80307171</v>
      </c>
      <c r="AF33" t="n">
        <v>18259672.0678693</v>
      </c>
      <c r="AG33" t="n">
        <v>405362532.770587</v>
      </c>
      <c r="AH33" t="n">
        <v>70483381.0927037</v>
      </c>
      <c r="AI33" t="n">
        <v>33728715.3007075</v>
      </c>
      <c r="AJ33" t="n">
        <v>256637335.722768</v>
      </c>
      <c r="AK33" t="n">
        <v>30283955.9701942</v>
      </c>
      <c r="AL33" t="n">
        <v>1103037.03349601</v>
      </c>
      <c r="AM33" t="n">
        <v>84093913.700466</v>
      </c>
      <c r="AN33" t="n">
        <v>24955068.2745706</v>
      </c>
      <c r="AO33" t="n">
        <v>4520569.03897823</v>
      </c>
      <c r="AP33" t="n">
        <v>259818.70891569</v>
      </c>
      <c r="AQ33" t="n">
        <v>4611921.0079143</v>
      </c>
      <c r="AR33" t="n">
        <v>3922335.13721708</v>
      </c>
      <c r="AS33" t="n">
        <v>68140777.6332921</v>
      </c>
      <c r="AT33" t="n">
        <v>34364875.7879188</v>
      </c>
      <c r="AU33" t="n">
        <v>1380160.65497385</v>
      </c>
      <c r="AV33" t="n">
        <v>18942525.5408857</v>
      </c>
      <c r="AW33" t="n">
        <v>436729.182307815</v>
      </c>
      <c r="AX33" t="n">
        <v>42077668.1023407</v>
      </c>
      <c r="AY33" t="n">
        <v>7514240.52000649</v>
      </c>
      <c r="AZ33" t="n">
        <v>575713.75681506</v>
      </c>
      <c r="BA33" t="n">
        <v>14412808.0649</v>
      </c>
      <c r="BB33" t="n">
        <v>23851679.112958</v>
      </c>
      <c r="BC33" t="n">
        <v>20138973.7223772</v>
      </c>
      <c r="BD33" t="n">
        <v>52776277.7628222</v>
      </c>
      <c r="BE33" t="n">
        <v>16771514.3365164</v>
      </c>
      <c r="BF33" t="n">
        <v>12049324.7875233</v>
      </c>
      <c r="BG33" t="n">
        <v>13974245.1126441</v>
      </c>
      <c r="BH33" t="n">
        <v>21105126.9440775</v>
      </c>
      <c r="BI33" t="n">
        <v>16970659.7743839</v>
      </c>
      <c r="BJ33" t="n">
        <v>15571878.6165062</v>
      </c>
      <c r="BK33" t="n">
        <v>2127575.0531436</v>
      </c>
      <c r="BL33" t="n">
        <v>8690365.32482297</v>
      </c>
      <c r="BM33" t="n">
        <v>6882160.32193296</v>
      </c>
      <c r="BN33" t="n">
        <v>36957904.3216075</v>
      </c>
      <c r="BO33" t="n">
        <v>28979896.6555908</v>
      </c>
      <c r="BP33" t="n">
        <v>34557843.3590485</v>
      </c>
      <c r="BQ33" t="n">
        <v>5507009.06353578</v>
      </c>
      <c r="BR33" t="n">
        <v>9520474.73722662</v>
      </c>
      <c r="BS33" t="n">
        <v>903471094.807744</v>
      </c>
      <c r="BT33" t="n">
        <v>144181183.451344</v>
      </c>
      <c r="BU33" t="n">
        <v>2593350599.04568</v>
      </c>
      <c r="BV33" t="n">
        <v>0</v>
      </c>
      <c r="BW33" t="n">
        <v>0</v>
      </c>
      <c r="BX33" t="n">
        <v>0</v>
      </c>
      <c r="BY33" t="n">
        <v>0</v>
      </c>
      <c r="BZ33" t="n">
        <v>48192219.4607367</v>
      </c>
      <c r="CA33" t="n">
        <v>346227588.232157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286814650.457478</v>
      </c>
      <c r="C34" t="n">
        <v>3097780.87446689</v>
      </c>
      <c r="D34" t="n">
        <v>355199.068802189</v>
      </c>
      <c r="E34" t="n">
        <v>24594039.4256218</v>
      </c>
      <c r="F34" t="n">
        <v>122869.846512557</v>
      </c>
      <c r="G34" t="n">
        <v>9444464.31702737</v>
      </c>
      <c r="H34" t="n">
        <v>117648248.969705</v>
      </c>
      <c r="I34" t="n">
        <v>53378168.0866395</v>
      </c>
      <c r="J34" t="n">
        <v>28393884.2147917</v>
      </c>
      <c r="K34" t="n">
        <v>5881200.54970545</v>
      </c>
      <c r="L34" t="n">
        <v>73632111.6745599</v>
      </c>
      <c r="M34" t="n">
        <v>35395336.3817756</v>
      </c>
      <c r="N34" t="n">
        <v>32779137.9778313</v>
      </c>
      <c r="O34" t="n">
        <v>20467814.6559462</v>
      </c>
      <c r="P34" t="n">
        <v>32055149.8617099</v>
      </c>
      <c r="Q34" t="n">
        <v>4141681.02623476</v>
      </c>
      <c r="R34" t="n">
        <v>25859732.9983002</v>
      </c>
      <c r="S34" t="n">
        <v>148514958.320211</v>
      </c>
      <c r="T34" t="n">
        <v>63024195.5079497</v>
      </c>
      <c r="U34" t="n">
        <v>35876607.6330483</v>
      </c>
      <c r="V34" t="n">
        <v>474607.168669645</v>
      </c>
      <c r="W34" t="n">
        <v>94570425.3025465</v>
      </c>
      <c r="X34" t="n">
        <v>90739011.9989034</v>
      </c>
      <c r="Y34" t="n">
        <v>357928714.108028</v>
      </c>
      <c r="Z34" t="n">
        <v>515489109.375763</v>
      </c>
      <c r="AA34" t="n">
        <v>519568614.12054</v>
      </c>
      <c r="AB34" t="n">
        <v>16711180.8028083</v>
      </c>
      <c r="AC34" t="n">
        <v>1310864.23455905</v>
      </c>
      <c r="AD34" t="n">
        <v>752601.474364641</v>
      </c>
      <c r="AE34" t="n">
        <v>299212.444871493</v>
      </c>
      <c r="AF34" t="n">
        <v>6621951.10902836</v>
      </c>
      <c r="AG34" t="n">
        <v>26563.4313517898</v>
      </c>
      <c r="AH34" t="n">
        <v>2901731.43979985</v>
      </c>
      <c r="AI34" t="n">
        <v>25439.542556155</v>
      </c>
      <c r="AJ34" t="n">
        <v>2148381.38708452</v>
      </c>
      <c r="AK34" t="n">
        <v>195001.941690221</v>
      </c>
      <c r="AL34" t="n">
        <v>11206.693468249</v>
      </c>
      <c r="AM34" t="n">
        <v>271052.468066352</v>
      </c>
      <c r="AN34" t="n">
        <v>1770174.44082589</v>
      </c>
      <c r="AO34" t="n">
        <v>3570602.08171097</v>
      </c>
      <c r="AP34" t="n">
        <v>440186.205973536</v>
      </c>
      <c r="AQ34" t="n">
        <v>2598864.75291275</v>
      </c>
      <c r="AR34" t="n">
        <v>3990927.56166259</v>
      </c>
      <c r="AS34" t="n">
        <v>519616.675147497</v>
      </c>
      <c r="AT34" t="n">
        <v>377926.613827903</v>
      </c>
      <c r="AU34" t="n">
        <v>758239.026003923</v>
      </c>
      <c r="AV34" t="n">
        <v>0</v>
      </c>
      <c r="AW34" t="n">
        <v>3215949.61913054</v>
      </c>
      <c r="AX34" t="n">
        <v>34870991.9705256</v>
      </c>
      <c r="AY34" t="n">
        <v>443239.186865001</v>
      </c>
      <c r="AZ34" t="n">
        <v>624669.350909547</v>
      </c>
      <c r="BA34" t="n">
        <v>2055015.84572211</v>
      </c>
      <c r="BB34" t="n">
        <v>85563363.0397143</v>
      </c>
      <c r="BC34" t="n">
        <v>12231586.006697</v>
      </c>
      <c r="BD34" t="n">
        <v>63196069.5220158</v>
      </c>
      <c r="BE34" t="n">
        <v>12956838.4661849</v>
      </c>
      <c r="BF34" t="n">
        <v>5229039.91500549</v>
      </c>
      <c r="BG34" t="n">
        <v>344295340.700818</v>
      </c>
      <c r="BH34" t="n">
        <v>181048896.554018</v>
      </c>
      <c r="BI34" t="n">
        <v>62254957.9713157</v>
      </c>
      <c r="BJ34" t="n">
        <v>6595808.89564585</v>
      </c>
      <c r="BK34" t="n">
        <v>3148470.69387087</v>
      </c>
      <c r="BL34" t="n">
        <v>6768473.80737156</v>
      </c>
      <c r="BM34" t="n">
        <v>520339.888067878</v>
      </c>
      <c r="BN34" t="n">
        <v>4618683.9769109</v>
      </c>
      <c r="BO34" t="n">
        <v>45433564.8099478</v>
      </c>
      <c r="BP34" t="n">
        <v>4545619.72007904</v>
      </c>
      <c r="BQ34" t="n">
        <v>9780486.34986874</v>
      </c>
      <c r="BR34" t="n">
        <v>334711.784833289</v>
      </c>
      <c r="BS34" t="n">
        <v>218315507.531853</v>
      </c>
      <c r="BT34" t="n">
        <v>13297061.9807541</v>
      </c>
      <c r="BU34" t="n">
        <v>1330598748.45375</v>
      </c>
      <c r="BV34" t="n">
        <v>0</v>
      </c>
      <c r="BW34" t="n">
        <v>2653398.37467165</v>
      </c>
      <c r="BX34" t="n">
        <v>0</v>
      </c>
      <c r="BY34" t="n">
        <v>0</v>
      </c>
      <c r="BZ34" t="n">
        <v>69488258.8950293</v>
      </c>
      <c r="CA34" t="n">
        <v>1499312873.55667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18169657.3542951</v>
      </c>
      <c r="C35" t="n">
        <v>177511.820108755</v>
      </c>
      <c r="D35" t="n">
        <v>5224.2920240314</v>
      </c>
      <c r="E35" t="n">
        <v>11572988.8626865</v>
      </c>
      <c r="F35" t="n">
        <v>45242.9831250992</v>
      </c>
      <c r="G35" t="n">
        <v>108897.984728344</v>
      </c>
      <c r="H35" t="n">
        <v>194955670.125916</v>
      </c>
      <c r="I35" t="n">
        <v>11350629.7461156</v>
      </c>
      <c r="J35" t="n">
        <v>6618154.53404629</v>
      </c>
      <c r="K35" t="n">
        <v>2001711.87747457</v>
      </c>
      <c r="L35" t="n">
        <v>22310733.9233654</v>
      </c>
      <c r="M35" t="n">
        <v>89708736.3698736</v>
      </c>
      <c r="N35" t="n">
        <v>32836870.7403628</v>
      </c>
      <c r="O35" t="n">
        <v>15828827.8899523</v>
      </c>
      <c r="P35" t="n">
        <v>43371356.5906653</v>
      </c>
      <c r="Q35" t="n">
        <v>8126102.54883312</v>
      </c>
      <c r="R35" t="n">
        <v>28391215.3424349</v>
      </c>
      <c r="S35" t="n">
        <v>93150788.667582</v>
      </c>
      <c r="T35" t="n">
        <v>156221039.078872</v>
      </c>
      <c r="U35" t="n">
        <v>1103772.45147729</v>
      </c>
      <c r="V35" t="n">
        <v>327792.993812137</v>
      </c>
      <c r="W35" t="n">
        <v>27565386.1888486</v>
      </c>
      <c r="X35" t="n">
        <v>38889260.4555122</v>
      </c>
      <c r="Y35" t="n">
        <v>4107627.67004366</v>
      </c>
      <c r="Z35" t="n">
        <v>28221621.293392</v>
      </c>
      <c r="AA35" t="n">
        <v>155537645.578382</v>
      </c>
      <c r="AB35" t="n">
        <v>162820772.966388</v>
      </c>
      <c r="AC35" t="n">
        <v>7426676.7390933</v>
      </c>
      <c r="AD35" t="n">
        <v>11914985.0697489</v>
      </c>
      <c r="AE35" t="n">
        <v>3748212.65280335</v>
      </c>
      <c r="AF35" t="n">
        <v>24526172.1770042</v>
      </c>
      <c r="AG35" t="n">
        <v>129130.041174848</v>
      </c>
      <c r="AH35" t="n">
        <v>59669.5630948509</v>
      </c>
      <c r="AI35" t="n">
        <v>0</v>
      </c>
      <c r="AJ35" t="n">
        <v>6394103.63034575</v>
      </c>
      <c r="AK35" t="n">
        <v>294436.723438038</v>
      </c>
      <c r="AL35" t="n">
        <v>208832.070086345</v>
      </c>
      <c r="AM35" t="n">
        <v>10935278.5247765</v>
      </c>
      <c r="AN35" t="n">
        <v>1007566.73808704</v>
      </c>
      <c r="AO35" t="n">
        <v>1504000.70377314</v>
      </c>
      <c r="AP35" t="n">
        <v>117859.093828791</v>
      </c>
      <c r="AQ35" t="n">
        <v>24335194.7124664</v>
      </c>
      <c r="AR35" t="n">
        <v>2101567.8275449</v>
      </c>
      <c r="AS35" t="n">
        <v>395733.483262685</v>
      </c>
      <c r="AT35" t="n">
        <v>661383.097726068</v>
      </c>
      <c r="AU35" t="n">
        <v>8303622.59116206</v>
      </c>
      <c r="AV35" t="n">
        <v>0</v>
      </c>
      <c r="AW35" t="n">
        <v>74980.1477806839</v>
      </c>
      <c r="AX35" t="n">
        <v>578801.031156994</v>
      </c>
      <c r="AY35" t="n">
        <v>3110544.33685405</v>
      </c>
      <c r="AZ35" t="n">
        <v>134534.684917805</v>
      </c>
      <c r="BA35" t="n">
        <v>14327157.4843563</v>
      </c>
      <c r="BB35" t="n">
        <v>45215534.5679547</v>
      </c>
      <c r="BC35" t="n">
        <v>1353564.04058593</v>
      </c>
      <c r="BD35" t="n">
        <v>12530277.4566737</v>
      </c>
      <c r="BE35" t="n">
        <v>3065362.36871612</v>
      </c>
      <c r="BF35" t="n">
        <v>2536748.41419921</v>
      </c>
      <c r="BG35" t="n">
        <v>76884964.0404313</v>
      </c>
      <c r="BH35" t="n">
        <v>37209169.339806</v>
      </c>
      <c r="BI35" t="n">
        <v>21373560.8217805</v>
      </c>
      <c r="BJ35" t="n">
        <v>13074649.533084</v>
      </c>
      <c r="BK35" t="n">
        <v>295493.023890767</v>
      </c>
      <c r="BL35" t="n">
        <v>1490093.55061426</v>
      </c>
      <c r="BM35" t="n">
        <v>762857.263254358</v>
      </c>
      <c r="BN35" t="n">
        <v>45470463.3212098</v>
      </c>
      <c r="BO35" t="n">
        <v>22206936.3539451</v>
      </c>
      <c r="BP35" t="n">
        <v>6412505.55920558</v>
      </c>
      <c r="BQ35" t="n">
        <v>2226384.14648853</v>
      </c>
      <c r="BR35" t="n">
        <v>52007.7474013373</v>
      </c>
      <c r="BS35" t="n">
        <v>53591393.106522</v>
      </c>
      <c r="BT35" t="n">
        <v>16956232.5337628</v>
      </c>
      <c r="BU35" t="n">
        <v>118731463.913408</v>
      </c>
      <c r="BV35" t="n">
        <v>0</v>
      </c>
      <c r="BW35" t="n">
        <v>2961053.56818012</v>
      </c>
      <c r="BX35" t="n">
        <v>0</v>
      </c>
      <c r="BY35" t="n">
        <v>227749.710446165</v>
      </c>
      <c r="BZ35" t="n">
        <v>24602882.4925005</v>
      </c>
      <c r="CA35" t="n">
        <v>563066258.34113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69722.3926063722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329909773.700545</v>
      </c>
      <c r="C36" t="n">
        <v>3557049.52927424</v>
      </c>
      <c r="D36" t="n">
        <v>313205.103898394</v>
      </c>
      <c r="E36" t="n">
        <v>41037652.0760667</v>
      </c>
      <c r="F36" t="n">
        <v>192335.287030764</v>
      </c>
      <c r="G36" t="n">
        <v>31291109.8523791</v>
      </c>
      <c r="H36" t="n">
        <v>484942520.687431</v>
      </c>
      <c r="I36" t="n">
        <v>90628984.3643963</v>
      </c>
      <c r="J36" t="n">
        <v>34640076.623894</v>
      </c>
      <c r="K36" t="n">
        <v>73422809.6036285</v>
      </c>
      <c r="L36" t="n">
        <v>153314649.79411</v>
      </c>
      <c r="M36" t="n">
        <v>224010019.205289</v>
      </c>
      <c r="N36" t="n">
        <v>107110962.333281</v>
      </c>
      <c r="O36" t="n">
        <v>54306448.9971088</v>
      </c>
      <c r="P36" t="n">
        <v>108094037.728219</v>
      </c>
      <c r="Q36" t="n">
        <v>24464403.2206047</v>
      </c>
      <c r="R36" t="n">
        <v>42710289.6959778</v>
      </c>
      <c r="S36" t="n">
        <v>137755322.286097</v>
      </c>
      <c r="T36" t="n">
        <v>478600295.522705</v>
      </c>
      <c r="U36" t="n">
        <v>7142343.44206132</v>
      </c>
      <c r="V36" t="n">
        <v>3765979.57504229</v>
      </c>
      <c r="W36" t="n">
        <v>97247174.5184631</v>
      </c>
      <c r="X36" t="n">
        <v>61557557.8338009</v>
      </c>
      <c r="Y36" t="n">
        <v>127486607.969529</v>
      </c>
      <c r="Z36" t="n">
        <v>124633757.325542</v>
      </c>
      <c r="AA36" t="n">
        <v>105984165.362494</v>
      </c>
      <c r="AB36" t="n">
        <v>347147268.248508</v>
      </c>
      <c r="AC36" t="n">
        <v>20517774.4262838</v>
      </c>
      <c r="AD36" t="n">
        <v>14135436.951153</v>
      </c>
      <c r="AE36" t="n">
        <v>16361392.7516006</v>
      </c>
      <c r="AF36" t="n">
        <v>76640277.1679718</v>
      </c>
      <c r="AG36" t="n">
        <v>27335273.1210749</v>
      </c>
      <c r="AH36" t="n">
        <v>18733211.4070947</v>
      </c>
      <c r="AI36" t="n">
        <v>7598332.69765485</v>
      </c>
      <c r="AJ36" t="n">
        <v>54333357.3729262</v>
      </c>
      <c r="AK36" t="n">
        <v>6861039.17258726</v>
      </c>
      <c r="AL36" t="n">
        <v>1204200.18313548</v>
      </c>
      <c r="AM36" t="n">
        <v>20317082.9586456</v>
      </c>
      <c r="AN36" t="n">
        <v>7816017.53632843</v>
      </c>
      <c r="AO36" t="n">
        <v>49592169.2780712</v>
      </c>
      <c r="AP36" t="n">
        <v>417420.339415838</v>
      </c>
      <c r="AQ36" t="n">
        <v>44821782.9410638</v>
      </c>
      <c r="AR36" t="n">
        <v>9033132.84103631</v>
      </c>
      <c r="AS36" t="n">
        <v>13313778.4440862</v>
      </c>
      <c r="AT36" t="n">
        <v>7398599.3985242</v>
      </c>
      <c r="AU36" t="n">
        <v>7738939.52802375</v>
      </c>
      <c r="AV36" t="n">
        <v>7477258.07259564</v>
      </c>
      <c r="AW36" t="n">
        <v>3117049.41363421</v>
      </c>
      <c r="AX36" t="n">
        <v>17873105.7491094</v>
      </c>
      <c r="AY36" t="n">
        <v>25208262.6868806</v>
      </c>
      <c r="AZ36" t="n">
        <v>2533479.60248093</v>
      </c>
      <c r="BA36" t="n">
        <v>19923960.9575552</v>
      </c>
      <c r="BB36" t="n">
        <v>91587622.4377731</v>
      </c>
      <c r="BC36" t="n">
        <v>42170763.7680897</v>
      </c>
      <c r="BD36" t="n">
        <v>51243916.5021371</v>
      </c>
      <c r="BE36" t="n">
        <v>16436900.5176425</v>
      </c>
      <c r="BF36" t="n">
        <v>12918647.9524837</v>
      </c>
      <c r="BG36" t="n">
        <v>161660590.580498</v>
      </c>
      <c r="BH36" t="n">
        <v>114004609.288722</v>
      </c>
      <c r="BI36" t="n">
        <v>32338704.2288663</v>
      </c>
      <c r="BJ36" t="n">
        <v>39427635.1765344</v>
      </c>
      <c r="BK36" t="n">
        <v>2826035.07243768</v>
      </c>
      <c r="BL36" t="n">
        <v>15893807.0431586</v>
      </c>
      <c r="BM36" t="n">
        <v>13107129.6160106</v>
      </c>
      <c r="BN36" t="n">
        <v>110691568.468598</v>
      </c>
      <c r="BO36" t="n">
        <v>59948712.2968219</v>
      </c>
      <c r="BP36" t="n">
        <v>21432269.791713</v>
      </c>
      <c r="BQ36" t="n">
        <v>10821472.9040743</v>
      </c>
      <c r="BR36" t="n">
        <v>4384746.7399023</v>
      </c>
      <c r="BS36" t="n">
        <v>199744801.352266</v>
      </c>
      <c r="BT36" t="n">
        <v>40517677.8740456</v>
      </c>
      <c r="BU36" t="n">
        <v>2758903379.04869</v>
      </c>
      <c r="BV36" t="n">
        <v>561677.878718808</v>
      </c>
      <c r="BW36" t="n">
        <v>1332323624.22368</v>
      </c>
      <c r="BX36" t="n">
        <v>153800202.497158</v>
      </c>
      <c r="BY36" t="n">
        <v>18793157.5189624</v>
      </c>
      <c r="BZ36" t="n">
        <v>199503661.921854</v>
      </c>
      <c r="CA36" t="n">
        <v>4509322834.31727</v>
      </c>
      <c r="CB36" t="n">
        <v>0</v>
      </c>
      <c r="CC36" t="n">
        <v>0</v>
      </c>
      <c r="CD36" t="n">
        <v>0</v>
      </c>
      <c r="CE36" t="n">
        <v>64677135.5375225</v>
      </c>
      <c r="CF36" t="n">
        <v>5719501.97467524</v>
      </c>
      <c r="CG36" t="n">
        <v>0</v>
      </c>
      <c r="CH36" t="n">
        <v>0</v>
      </c>
      <c r="CI36" t="n">
        <v>4404865.43114509</v>
      </c>
      <c r="CJ36" t="n">
        <v>0</v>
      </c>
      <c r="CK36" t="n">
        <v>0</v>
      </c>
      <c r="CL36" t="n">
        <v>0</v>
      </c>
      <c r="CM36" t="n">
        <v>62090229.2066392</v>
      </c>
      <c r="CN36" t="n">
        <v>14106312.1426229</v>
      </c>
    </row>
    <row r="37">
      <c r="A37" t="s">
        <v>148</v>
      </c>
      <c r="B37" t="n">
        <v>378985.566307994</v>
      </c>
      <c r="C37" t="n">
        <v>11376.6983424136</v>
      </c>
      <c r="D37" t="n">
        <v>23960.3227263133</v>
      </c>
      <c r="E37" t="n">
        <v>5849943.48551564</v>
      </c>
      <c r="F37" t="n">
        <v>29944.0914505419</v>
      </c>
      <c r="G37" t="n">
        <v>234502.828743995</v>
      </c>
      <c r="H37" t="n">
        <v>40260905.0336898</v>
      </c>
      <c r="I37" t="n">
        <v>9912000.32595537</v>
      </c>
      <c r="J37" t="n">
        <v>2728172.9916414</v>
      </c>
      <c r="K37" t="n">
        <v>1104403.78427892</v>
      </c>
      <c r="L37" t="n">
        <v>10171740.5953435</v>
      </c>
      <c r="M37" t="n">
        <v>53111357.396226</v>
      </c>
      <c r="N37" t="n">
        <v>4327483.15801531</v>
      </c>
      <c r="O37" t="n">
        <v>62145.4254915454</v>
      </c>
      <c r="P37" t="n">
        <v>19521458.3785154</v>
      </c>
      <c r="Q37" t="n">
        <v>3668897.00877999</v>
      </c>
      <c r="R37" t="n">
        <v>2807777.11882424</v>
      </c>
      <c r="S37" t="n">
        <v>13518400.0341799</v>
      </c>
      <c r="T37" t="n">
        <v>28193861.1450092</v>
      </c>
      <c r="U37" t="n">
        <v>140562.418794144</v>
      </c>
      <c r="V37" t="n">
        <v>0</v>
      </c>
      <c r="W37" t="n">
        <v>8080727.40608693</v>
      </c>
      <c r="X37" t="n">
        <v>1931492.0987478</v>
      </c>
      <c r="Y37" t="n">
        <v>56750.0261585236</v>
      </c>
      <c r="Z37" t="n">
        <v>3609740.82987064</v>
      </c>
      <c r="AA37" t="n">
        <v>2875692.50363109</v>
      </c>
      <c r="AB37" t="n">
        <v>2170849.29580073</v>
      </c>
      <c r="AC37" t="n">
        <v>19496065.5395472</v>
      </c>
      <c r="AD37" t="n">
        <v>10057090.2647884</v>
      </c>
      <c r="AE37" t="n">
        <v>2430905.51692693</v>
      </c>
      <c r="AF37" t="n">
        <v>19777736.8587053</v>
      </c>
      <c r="AG37" t="n">
        <v>0</v>
      </c>
      <c r="AH37" t="n">
        <v>220274.542069025</v>
      </c>
      <c r="AI37" t="n">
        <v>0</v>
      </c>
      <c r="AJ37" t="n">
        <v>25612304.3412011</v>
      </c>
      <c r="AK37" t="n">
        <v>99414.7526501767</v>
      </c>
      <c r="AL37" t="n">
        <v>6982.96024056131</v>
      </c>
      <c r="AM37" t="n">
        <v>142910.709449841</v>
      </c>
      <c r="AN37" t="n">
        <v>544522.284312389</v>
      </c>
      <c r="AO37" t="n">
        <v>867520.037415517</v>
      </c>
      <c r="AP37" t="n">
        <v>130666.892540517</v>
      </c>
      <c r="AQ37" t="n">
        <v>819165.458790316</v>
      </c>
      <c r="AR37" t="n">
        <v>95542.9906334769</v>
      </c>
      <c r="AS37" t="n">
        <v>854769.629058127</v>
      </c>
      <c r="AT37" t="n">
        <v>98905.1356484966</v>
      </c>
      <c r="AU37" t="n">
        <v>330724.409523644</v>
      </c>
      <c r="AV37" t="n">
        <v>0</v>
      </c>
      <c r="AW37" t="n">
        <v>1427222.57687968</v>
      </c>
      <c r="AX37" t="n">
        <v>2520245.47209793</v>
      </c>
      <c r="AY37" t="n">
        <v>3423882.77904196</v>
      </c>
      <c r="AZ37" t="n">
        <v>0</v>
      </c>
      <c r="BA37" t="n">
        <v>403516.741193064</v>
      </c>
      <c r="BB37" t="n">
        <v>8168670.21898033</v>
      </c>
      <c r="BC37" t="n">
        <v>0</v>
      </c>
      <c r="BD37" t="n">
        <v>37415776.196319</v>
      </c>
      <c r="BE37" t="n">
        <v>1066619.1446701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69568.4973916262</v>
      </c>
      <c r="BL37" t="n">
        <v>278756.19779105</v>
      </c>
      <c r="BM37" t="n">
        <v>382124.694012655</v>
      </c>
      <c r="BN37" t="n">
        <v>1913675.5327613</v>
      </c>
      <c r="BO37" t="n">
        <v>54952480.2035726</v>
      </c>
      <c r="BP37" t="n">
        <v>0</v>
      </c>
      <c r="BQ37" t="n">
        <v>0</v>
      </c>
      <c r="BR37" t="n">
        <v>0</v>
      </c>
      <c r="BS37" t="n">
        <v>0</v>
      </c>
      <c r="BT37" t="n">
        <v>33304.7505528948</v>
      </c>
      <c r="BU37" t="n">
        <v>5552910065.20174</v>
      </c>
      <c r="BV37" t="n">
        <v>0</v>
      </c>
      <c r="BW37" t="n">
        <v>482635646.687526</v>
      </c>
      <c r="BX37" t="n">
        <v>0</v>
      </c>
      <c r="BY37" t="n">
        <v>127148.893816515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1457636.79349228</v>
      </c>
      <c r="C38" t="n">
        <v>0</v>
      </c>
      <c r="D38" t="n">
        <v>146.995844946707</v>
      </c>
      <c r="E38" t="n">
        <v>0</v>
      </c>
      <c r="F38" t="n">
        <v>0</v>
      </c>
      <c r="G38" t="n">
        <v>1356766.36630454</v>
      </c>
      <c r="H38" t="n">
        <v>4028017.78460563</v>
      </c>
      <c r="I38" t="n">
        <v>0</v>
      </c>
      <c r="J38" t="n">
        <v>40718.9998752448</v>
      </c>
      <c r="K38" t="n">
        <v>0</v>
      </c>
      <c r="L38" t="n">
        <v>58796.1884123902</v>
      </c>
      <c r="M38" t="n">
        <v>448071.069147014</v>
      </c>
      <c r="N38" t="n">
        <v>31358.5736088066</v>
      </c>
      <c r="O38" t="n">
        <v>41430.2836610302</v>
      </c>
      <c r="P38" t="n">
        <v>48245.8038393956</v>
      </c>
      <c r="Q38" t="n">
        <v>0</v>
      </c>
      <c r="R38" t="n">
        <v>144730.779320837</v>
      </c>
      <c r="S38" t="n">
        <v>604481.302341378</v>
      </c>
      <c r="T38" t="n">
        <v>292597.521149095</v>
      </c>
      <c r="U38" t="n">
        <v>0</v>
      </c>
      <c r="V38" t="n">
        <v>0</v>
      </c>
      <c r="W38" t="n">
        <v>26151.2213789221</v>
      </c>
      <c r="X38" t="n">
        <v>819420.890377856</v>
      </c>
      <c r="Y38" t="n">
        <v>75666.7015446982</v>
      </c>
      <c r="Z38" t="n">
        <v>415568.35738917</v>
      </c>
      <c r="AA38" t="n">
        <v>20688.4352779215</v>
      </c>
      <c r="AB38" t="n">
        <v>173667.943664058</v>
      </c>
      <c r="AC38" t="n">
        <v>196749.285261486</v>
      </c>
      <c r="AD38" t="n">
        <v>418253.281333353</v>
      </c>
      <c r="AE38" t="n">
        <v>193611.943826039</v>
      </c>
      <c r="AF38" t="n">
        <v>713549.721961134</v>
      </c>
      <c r="AG38" t="n">
        <v>0</v>
      </c>
      <c r="AH38" t="n">
        <v>110137.271034513</v>
      </c>
      <c r="AI38" t="n">
        <v>0</v>
      </c>
      <c r="AJ38" t="n">
        <v>4282377.28584882</v>
      </c>
      <c r="AK38" t="n">
        <v>463935.512367491</v>
      </c>
      <c r="AL38" t="n">
        <v>0</v>
      </c>
      <c r="AM38" t="n">
        <v>441724.011026782</v>
      </c>
      <c r="AN38" t="n">
        <v>0</v>
      </c>
      <c r="AO38" t="n">
        <v>17704.4905595003</v>
      </c>
      <c r="AP38" t="n">
        <v>0</v>
      </c>
      <c r="AQ38" t="n">
        <v>0</v>
      </c>
      <c r="AR38" t="n">
        <v>15923.8317722461</v>
      </c>
      <c r="AS38" t="n">
        <v>77706.3299143752</v>
      </c>
      <c r="AT38" t="n">
        <v>42387.9152779271</v>
      </c>
      <c r="AU38" t="n">
        <v>23623.1721088317</v>
      </c>
      <c r="AV38" t="n">
        <v>0</v>
      </c>
      <c r="AW38" t="n">
        <v>1124478.3939052</v>
      </c>
      <c r="AX38" t="n">
        <v>220898.009506592</v>
      </c>
      <c r="AY38" t="n">
        <v>18276.9543365229</v>
      </c>
      <c r="AZ38" t="n">
        <v>0</v>
      </c>
      <c r="BA38" t="n">
        <v>16140.6696477225</v>
      </c>
      <c r="BB38" t="n">
        <v>82014.7612347422</v>
      </c>
      <c r="BC38" t="n">
        <v>0</v>
      </c>
      <c r="BD38" t="n">
        <v>1056147.2392638</v>
      </c>
      <c r="BE38" t="n">
        <v>0</v>
      </c>
      <c r="BF38" t="n">
        <v>134720.788518531</v>
      </c>
      <c r="BG38" t="n">
        <v>43832.8468094286</v>
      </c>
      <c r="BH38" t="n">
        <v>112281.226427314</v>
      </c>
      <c r="BI38" t="n">
        <v>30917.7342883083</v>
      </c>
      <c r="BJ38" t="n">
        <v>24366.9335075968</v>
      </c>
      <c r="BK38" t="n">
        <v>111309.595826602</v>
      </c>
      <c r="BL38" t="n">
        <v>263269.742358214</v>
      </c>
      <c r="BM38" t="n">
        <v>428442.838741462</v>
      </c>
      <c r="BN38" t="n">
        <v>19700473.7016047</v>
      </c>
      <c r="BO38" t="n">
        <v>464487.804061407</v>
      </c>
      <c r="BP38" t="n">
        <v>0</v>
      </c>
      <c r="BQ38" t="n">
        <v>0</v>
      </c>
      <c r="BR38" t="n">
        <v>0</v>
      </c>
      <c r="BS38" t="n">
        <v>372882.491064547</v>
      </c>
      <c r="BT38" t="n">
        <v>0</v>
      </c>
      <c r="BU38" t="n">
        <v>3929994678.73615</v>
      </c>
      <c r="BV38" t="n">
        <v>0</v>
      </c>
      <c r="BW38" t="n">
        <v>4455539.11943373</v>
      </c>
      <c r="BX38" t="n">
        <v>18879.403048448</v>
      </c>
      <c r="BY38" t="n">
        <v>127171.947019259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81297.682267182</v>
      </c>
      <c r="C39" t="n">
        <v>0</v>
      </c>
      <c r="D39" t="n">
        <v>31.0548884997081</v>
      </c>
      <c r="E39" t="n">
        <v>5307.46356479333</v>
      </c>
      <c r="F39" t="n">
        <v>24.738938720523</v>
      </c>
      <c r="G39" t="n">
        <v>72897.4246878071</v>
      </c>
      <c r="H39" t="n">
        <v>633140.947736791</v>
      </c>
      <c r="I39" t="n">
        <v>11756.0478645929</v>
      </c>
      <c r="J39" t="n">
        <v>4731.34598309286</v>
      </c>
      <c r="K39" t="n">
        <v>1060.54749036279</v>
      </c>
      <c r="L39" t="n">
        <v>13663.6514019715</v>
      </c>
      <c r="M39" t="n">
        <v>90243.6385155913</v>
      </c>
      <c r="N39" t="n">
        <v>7949.9145621519</v>
      </c>
      <c r="O39" t="n">
        <v>4813.99363389533</v>
      </c>
      <c r="P39" t="n">
        <v>21531.8417699914</v>
      </c>
      <c r="Q39" t="n">
        <v>3005.50847480433</v>
      </c>
      <c r="R39" t="n">
        <v>18957.3446369633</v>
      </c>
      <c r="S39" t="n">
        <v>75462.0256181335</v>
      </c>
      <c r="T39" t="n">
        <v>54309.1034763631</v>
      </c>
      <c r="U39" t="n">
        <v>524.042452614581</v>
      </c>
      <c r="V39" t="n">
        <v>0</v>
      </c>
      <c r="W39" t="n">
        <v>9392.16716902213</v>
      </c>
      <c r="X39" t="n">
        <v>58116.8101592722</v>
      </c>
      <c r="Y39" t="n">
        <v>3197.12571530604</v>
      </c>
      <c r="Z39" t="n">
        <v>25305.4780267032</v>
      </c>
      <c r="AA39" t="n">
        <v>5244.85886813093</v>
      </c>
      <c r="AB39" t="n">
        <v>13758.650699658</v>
      </c>
      <c r="AC39" t="n">
        <v>33252.788163681</v>
      </c>
      <c r="AD39" t="n">
        <v>18475.637091927</v>
      </c>
      <c r="AE39" t="n">
        <v>4999.27740807167</v>
      </c>
      <c r="AF39" t="n">
        <v>38014.5027561833</v>
      </c>
      <c r="AG39" t="n">
        <v>0</v>
      </c>
      <c r="AH39" t="n">
        <v>6980.40275807578</v>
      </c>
      <c r="AI39" t="n">
        <v>334.885458057352</v>
      </c>
      <c r="AJ39" t="n">
        <v>257128.372552311</v>
      </c>
      <c r="AK39" t="n">
        <v>25203.276132573</v>
      </c>
      <c r="AL39" t="n">
        <v>147.524613193758</v>
      </c>
      <c r="AM39" t="n">
        <v>24702.420757596</v>
      </c>
      <c r="AN39" t="n">
        <v>442.453082499301</v>
      </c>
      <c r="AO39" t="n">
        <v>1870.15823633909</v>
      </c>
      <c r="AP39" t="n">
        <v>149.217153131657</v>
      </c>
      <c r="AQ39" t="n">
        <v>721.0830798984</v>
      </c>
      <c r="AR39" t="n">
        <v>841.031969907884</v>
      </c>
      <c r="AS39" t="n">
        <v>6156.19801724837</v>
      </c>
      <c r="AT39" t="n">
        <v>2388.00760328672</v>
      </c>
      <c r="AU39" t="n">
        <v>1497.21573990438</v>
      </c>
      <c r="AV39" t="n">
        <v>0</v>
      </c>
      <c r="AW39" t="n">
        <v>123349.232344257</v>
      </c>
      <c r="AX39" t="n">
        <v>33303.7923014054</v>
      </c>
      <c r="AY39" t="n">
        <v>6049.30309976116</v>
      </c>
      <c r="AZ39" t="n">
        <v>312.270783577483</v>
      </c>
      <c r="BA39" t="n">
        <v>1363.97514202492</v>
      </c>
      <c r="BB39" t="n">
        <v>13168.3248765491</v>
      </c>
      <c r="BC39" t="n">
        <v>0</v>
      </c>
      <c r="BD39" t="n">
        <v>97580.2583935888</v>
      </c>
      <c r="BE39" t="n">
        <v>1040.02118996763</v>
      </c>
      <c r="BF39" t="n">
        <v>16128.248193771</v>
      </c>
      <c r="BG39" t="n">
        <v>4630.14505881134</v>
      </c>
      <c r="BH39" t="n">
        <v>3795.35186842852</v>
      </c>
      <c r="BI39" t="n">
        <v>653.17954486068</v>
      </c>
      <c r="BJ39" t="n">
        <v>1544.35467907116</v>
      </c>
      <c r="BK39" t="n">
        <v>1175.78394429989</v>
      </c>
      <c r="BL39" t="n">
        <v>2290.20829008975</v>
      </c>
      <c r="BM39" t="n">
        <v>14922.6486734817</v>
      </c>
      <c r="BN39" t="n">
        <v>91827.1550997611</v>
      </c>
      <c r="BO39" t="n">
        <v>96997.1571762275</v>
      </c>
      <c r="BP39" t="n">
        <v>0</v>
      </c>
      <c r="BQ39" t="n">
        <v>593.014609706445</v>
      </c>
      <c r="BR39" t="n">
        <v>0</v>
      </c>
      <c r="BS39" t="n">
        <v>8665.41949295997</v>
      </c>
      <c r="BT39" t="n">
        <v>0</v>
      </c>
      <c r="BU39" t="n">
        <v>72915898.0401118</v>
      </c>
      <c r="BV39" t="n">
        <v>0</v>
      </c>
      <c r="BW39" t="n">
        <v>884602.977997544</v>
      </c>
      <c r="BX39" t="n">
        <v>236995.046073005</v>
      </c>
      <c r="BY39" t="n">
        <v>60053.881747703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45494647.3196522</v>
      </c>
      <c r="C40" t="n">
        <v>131511.417572899</v>
      </c>
      <c r="D40" t="n">
        <v>9204.16479579438</v>
      </c>
      <c r="E40" t="n">
        <v>4459844.8094841</v>
      </c>
      <c r="F40" t="n">
        <v>3222.95376549443</v>
      </c>
      <c r="G40" t="n">
        <v>44873196.7211765</v>
      </c>
      <c r="H40" t="n">
        <v>1462474994.021</v>
      </c>
      <c r="I40" t="n">
        <v>12865114.1000304</v>
      </c>
      <c r="J40" t="n">
        <v>333412.59251912</v>
      </c>
      <c r="K40" t="n">
        <v>229702.004550358</v>
      </c>
      <c r="L40" t="n">
        <v>3908087.0966513</v>
      </c>
      <c r="M40" t="n">
        <v>31278877.4707957</v>
      </c>
      <c r="N40" t="n">
        <v>2748929.88373653</v>
      </c>
      <c r="O40" t="n">
        <v>2554252.64083707</v>
      </c>
      <c r="P40" t="n">
        <v>4914800.49181096</v>
      </c>
      <c r="Q40" t="n">
        <v>411131.039767005</v>
      </c>
      <c r="R40" t="n">
        <v>9145989.74926496</v>
      </c>
      <c r="S40" t="n">
        <v>36208643.8177904</v>
      </c>
      <c r="T40" t="n">
        <v>19992072.8479428</v>
      </c>
      <c r="U40" t="n">
        <v>342495.386941101</v>
      </c>
      <c r="V40" t="n">
        <v>14010.5040481749</v>
      </c>
      <c r="W40" t="n">
        <v>2393214.09921125</v>
      </c>
      <c r="X40" t="n">
        <v>48263490.871024</v>
      </c>
      <c r="Y40" t="n">
        <v>5321004.58403676</v>
      </c>
      <c r="Z40" t="n">
        <v>25471408.8554719</v>
      </c>
      <c r="AA40" t="n">
        <v>2012866.57939202</v>
      </c>
      <c r="AB40" t="n">
        <v>11689810.0204534</v>
      </c>
      <c r="AC40" t="n">
        <v>19332112.1273992</v>
      </c>
      <c r="AD40" t="n">
        <v>5933728.30021268</v>
      </c>
      <c r="AE40" t="n">
        <v>11211219.9037119</v>
      </c>
      <c r="AF40" t="n">
        <v>21188909.7267228</v>
      </c>
      <c r="AG40" t="n">
        <v>119584.112453376</v>
      </c>
      <c r="AH40" t="n">
        <v>3766419.02372271</v>
      </c>
      <c r="AI40" t="n">
        <v>7131062.20451094</v>
      </c>
      <c r="AJ40" t="n">
        <v>152358136.431875</v>
      </c>
      <c r="AK40" t="n">
        <v>14412964.1541902</v>
      </c>
      <c r="AL40" t="n">
        <v>94174.5546783427</v>
      </c>
      <c r="AM40" t="n">
        <v>19148267.7303483</v>
      </c>
      <c r="AN40" t="n">
        <v>80699.0219818059</v>
      </c>
      <c r="AO40" t="n">
        <v>1074459.26306925</v>
      </c>
      <c r="AP40" t="n">
        <v>51029.4712461962</v>
      </c>
      <c r="AQ40" t="n">
        <v>175357.799857484</v>
      </c>
      <c r="AR40" t="n">
        <v>720960.396761151</v>
      </c>
      <c r="AS40" t="n">
        <v>4772023.3167457</v>
      </c>
      <c r="AT40" t="n">
        <v>2055245.56865512</v>
      </c>
      <c r="AU40" t="n">
        <v>1206090.9367776</v>
      </c>
      <c r="AV40" t="n">
        <v>0</v>
      </c>
      <c r="AW40" t="n">
        <v>65597366.2151986</v>
      </c>
      <c r="AX40" t="n">
        <v>11316729.981962</v>
      </c>
      <c r="AY40" t="n">
        <v>968350.2891554</v>
      </c>
      <c r="AZ40" t="n">
        <v>313252.891746532</v>
      </c>
      <c r="BA40" t="n">
        <v>839617.107641338</v>
      </c>
      <c r="BB40" t="n">
        <v>5609399.14416096</v>
      </c>
      <c r="BC40" t="n">
        <v>0</v>
      </c>
      <c r="BD40" t="n">
        <v>20510722.8465597</v>
      </c>
      <c r="BE40" t="n">
        <v>347764.037248558</v>
      </c>
      <c r="BF40" t="n">
        <v>1874568.99341985</v>
      </c>
      <c r="BG40" t="n">
        <v>6143680.76886672</v>
      </c>
      <c r="BH40" t="n">
        <v>3309745.07410775</v>
      </c>
      <c r="BI40" t="n">
        <v>2233751.69030753</v>
      </c>
      <c r="BJ40" t="n">
        <v>1314482.70240774</v>
      </c>
      <c r="BK40" t="n">
        <v>4154992.87059846</v>
      </c>
      <c r="BL40" t="n">
        <v>4997615.09125081</v>
      </c>
      <c r="BM40" t="n">
        <v>13039821.4728516</v>
      </c>
      <c r="BN40" t="n">
        <v>80655050.8464234</v>
      </c>
      <c r="BO40" t="n">
        <v>36071002.7802893</v>
      </c>
      <c r="BP40" t="n">
        <v>8754.48878786062</v>
      </c>
      <c r="BQ40" t="n">
        <v>414613.104791394</v>
      </c>
      <c r="BR40" t="n">
        <v>16513.0554960052</v>
      </c>
      <c r="BS40" t="n">
        <v>6591344.79271015</v>
      </c>
      <c r="BT40" t="n">
        <v>0</v>
      </c>
      <c r="BU40" t="n">
        <v>13327108440.8153</v>
      </c>
      <c r="BV40" t="n">
        <v>0</v>
      </c>
      <c r="BW40" t="n">
        <v>516934550.692001</v>
      </c>
      <c r="BX40" t="n">
        <v>180312442.217597</v>
      </c>
      <c r="BY40" t="n">
        <v>106822950.4843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5459303.62019446</v>
      </c>
      <c r="C41" t="n">
        <v>10953.5417417653</v>
      </c>
      <c r="D41" t="n">
        <v>1698.33996651252</v>
      </c>
      <c r="E41" t="n">
        <v>414651.878306293</v>
      </c>
      <c r="F41" t="n">
        <v>25850.6502030514</v>
      </c>
      <c r="G41" t="n">
        <v>7289484.382566</v>
      </c>
      <c r="H41" t="n">
        <v>4945163.23140483</v>
      </c>
      <c r="I41" t="n">
        <v>2042606.01982944</v>
      </c>
      <c r="J41" t="n">
        <v>2920731.9407376</v>
      </c>
      <c r="K41" t="n">
        <v>1166033.02827539</v>
      </c>
      <c r="L41" t="n">
        <v>6127952.67687946</v>
      </c>
      <c r="M41" t="n">
        <v>4860496.93819643</v>
      </c>
      <c r="N41" t="n">
        <v>1343552.48261305</v>
      </c>
      <c r="O41" t="n">
        <v>528533.001692775</v>
      </c>
      <c r="P41" t="n">
        <v>1219346.62155486</v>
      </c>
      <c r="Q41" t="n">
        <v>562305.547554543</v>
      </c>
      <c r="R41" t="n">
        <v>1421344.64375552</v>
      </c>
      <c r="S41" t="n">
        <v>4364982.03039385</v>
      </c>
      <c r="T41" t="n">
        <v>8944430.56439939</v>
      </c>
      <c r="U41" t="n">
        <v>171157.953573508</v>
      </c>
      <c r="V41" t="n">
        <v>35007.9051113082</v>
      </c>
      <c r="W41" t="n">
        <v>2177942.49872286</v>
      </c>
      <c r="X41" t="n">
        <v>4480066.38661356</v>
      </c>
      <c r="Y41" t="n">
        <v>1420619.39266347</v>
      </c>
      <c r="Z41" t="n">
        <v>1800500.76524577</v>
      </c>
      <c r="AA41" t="n">
        <v>4083380.31619036</v>
      </c>
      <c r="AB41" t="n">
        <v>84492474.3272694</v>
      </c>
      <c r="AC41" t="n">
        <v>1661828.16951687</v>
      </c>
      <c r="AD41" t="n">
        <v>594892.319408098</v>
      </c>
      <c r="AE41" t="n">
        <v>797422.875699014</v>
      </c>
      <c r="AF41" t="n">
        <v>2852581.76492831</v>
      </c>
      <c r="AG41" t="n">
        <v>4828666.42303789</v>
      </c>
      <c r="AH41" t="n">
        <v>159061.06841689</v>
      </c>
      <c r="AI41" t="n">
        <v>1808539.71076937</v>
      </c>
      <c r="AJ41" t="n">
        <v>29423899.1441839</v>
      </c>
      <c r="AK41" t="n">
        <v>478585.091265572</v>
      </c>
      <c r="AL41" t="n">
        <v>26892.915386855</v>
      </c>
      <c r="AM41" t="n">
        <v>8756054.47630182</v>
      </c>
      <c r="AN41" t="n">
        <v>2157567.60285596</v>
      </c>
      <c r="AO41" t="n">
        <v>3775682.6999305</v>
      </c>
      <c r="AP41" t="n">
        <v>571230.575819219</v>
      </c>
      <c r="AQ41" t="n">
        <v>2842593.91485379</v>
      </c>
      <c r="AR41" t="n">
        <v>6623227.19006623</v>
      </c>
      <c r="AS41" t="n">
        <v>52548916.7162416</v>
      </c>
      <c r="AT41" t="n">
        <v>22697882.2527682</v>
      </c>
      <c r="AU41" t="n">
        <v>1159969.88695025</v>
      </c>
      <c r="AV41" t="n">
        <v>8582021.10314117</v>
      </c>
      <c r="AW41" t="n">
        <v>72870.9012377671</v>
      </c>
      <c r="AX41" t="n">
        <v>53499115.4295841</v>
      </c>
      <c r="AY41" t="n">
        <v>4408084.20343857</v>
      </c>
      <c r="AZ41" t="n">
        <v>5165964.14503192</v>
      </c>
      <c r="BA41" t="n">
        <v>23574660.8985861</v>
      </c>
      <c r="BB41" t="n">
        <v>39869034.6709736</v>
      </c>
      <c r="BC41" t="n">
        <v>7391785.73320913</v>
      </c>
      <c r="BD41" t="n">
        <v>34037821.4110189</v>
      </c>
      <c r="BE41" t="n">
        <v>4060387.34995105</v>
      </c>
      <c r="BF41" t="n">
        <v>5008241.24399939</v>
      </c>
      <c r="BG41" t="n">
        <v>29594491.1295143</v>
      </c>
      <c r="BH41" t="n">
        <v>4972826.46684416</v>
      </c>
      <c r="BI41" t="n">
        <v>4926562.3486804</v>
      </c>
      <c r="BJ41" t="n">
        <v>8387166.20198808</v>
      </c>
      <c r="BK41" t="n">
        <v>1004713.42891746</v>
      </c>
      <c r="BL41" t="n">
        <v>1699789.73896842</v>
      </c>
      <c r="BM41" t="n">
        <v>1165053.25986695</v>
      </c>
      <c r="BN41" t="n">
        <v>12183328.3787494</v>
      </c>
      <c r="BO41" t="n">
        <v>5203129.93194134</v>
      </c>
      <c r="BP41" t="n">
        <v>25215027.5629438</v>
      </c>
      <c r="BQ41" t="n">
        <v>17828029.41296</v>
      </c>
      <c r="BR41" t="n">
        <v>1778349.3226297</v>
      </c>
      <c r="BS41" t="n">
        <v>36206472.8279116</v>
      </c>
      <c r="BT41" t="n">
        <v>464956.702182443</v>
      </c>
      <c r="BU41" t="n">
        <v>992909363.817385</v>
      </c>
      <c r="BV41" t="n">
        <v>0</v>
      </c>
      <c r="BW41" t="n">
        <v>9377344.22777119</v>
      </c>
      <c r="BX41" t="n">
        <v>1124324.43547257</v>
      </c>
      <c r="BY41" t="n">
        <v>61203.3355976352</v>
      </c>
      <c r="BZ41" t="n">
        <v>670840.433437956</v>
      </c>
      <c r="CA41" t="n">
        <v>1156479215.36308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328109.343913408</v>
      </c>
      <c r="CN41" t="n">
        <v>93745.5268324023</v>
      </c>
    </row>
    <row r="42">
      <c r="A42" t="s">
        <v>153</v>
      </c>
      <c r="B42" t="n">
        <v>61102548.4696378</v>
      </c>
      <c r="C42" t="n">
        <v>225929.166977948</v>
      </c>
      <c r="D42" t="n">
        <v>56315.8789230398</v>
      </c>
      <c r="E42" t="n">
        <v>27231917.2281029</v>
      </c>
      <c r="F42" t="n">
        <v>32390.5843794997</v>
      </c>
      <c r="G42" t="n">
        <v>34622410.4617518</v>
      </c>
      <c r="H42" t="n">
        <v>39661185.8384342</v>
      </c>
      <c r="I42" t="n">
        <v>27051360.858632</v>
      </c>
      <c r="J42" t="n">
        <v>35748457.1433218</v>
      </c>
      <c r="K42" t="n">
        <v>30665741.9986277</v>
      </c>
      <c r="L42" t="n">
        <v>26466279.1710466</v>
      </c>
      <c r="M42" t="n">
        <v>14731491.541856</v>
      </c>
      <c r="N42" t="n">
        <v>2179618.08420679</v>
      </c>
      <c r="O42" t="n">
        <v>4645174.34274955</v>
      </c>
      <c r="P42" t="n">
        <v>6382413.25318508</v>
      </c>
      <c r="Q42" t="n">
        <v>1796727.66593221</v>
      </c>
      <c r="R42" t="n">
        <v>6586707.93696151</v>
      </c>
      <c r="S42" t="n">
        <v>11867944.6090068</v>
      </c>
      <c r="T42" t="n">
        <v>111838229.802977</v>
      </c>
      <c r="U42" t="n">
        <v>526812.222298822</v>
      </c>
      <c r="V42" t="n">
        <v>24069.2524418323</v>
      </c>
      <c r="W42" t="n">
        <v>54573508.5950226</v>
      </c>
      <c r="X42" t="n">
        <v>5085259.40466642</v>
      </c>
      <c r="Y42" t="n">
        <v>59057686.9089821</v>
      </c>
      <c r="Z42" t="n">
        <v>32100758.4461891</v>
      </c>
      <c r="AA42" t="n">
        <v>31070560.7272979</v>
      </c>
      <c r="AB42" t="n">
        <v>5658287.95607994</v>
      </c>
      <c r="AC42" t="n">
        <v>488404.025323787</v>
      </c>
      <c r="AD42" t="n">
        <v>1809086.50059691</v>
      </c>
      <c r="AE42" t="n">
        <v>676422.505858358</v>
      </c>
      <c r="AF42" t="n">
        <v>1501748.08871732</v>
      </c>
      <c r="AG42" t="n">
        <v>3471914.57602886</v>
      </c>
      <c r="AH42" t="n">
        <v>5536373.86996773</v>
      </c>
      <c r="AI42" t="n">
        <v>341027.607729852</v>
      </c>
      <c r="AJ42" t="n">
        <v>75175988.2702764</v>
      </c>
      <c r="AK42" t="n">
        <v>438727.018557399</v>
      </c>
      <c r="AL42" t="n">
        <v>52002.8200199066</v>
      </c>
      <c r="AM42" t="n">
        <v>2827304.96014819</v>
      </c>
      <c r="AN42" t="n">
        <v>346590.873035379</v>
      </c>
      <c r="AO42" t="n">
        <v>468789.881854626</v>
      </c>
      <c r="AP42" t="n">
        <v>23377.5310519332</v>
      </c>
      <c r="AQ42" t="n">
        <v>2993719.26112671</v>
      </c>
      <c r="AR42" t="n">
        <v>355759.217789627</v>
      </c>
      <c r="AS42" t="n">
        <v>1125224.71559916</v>
      </c>
      <c r="AT42" t="n">
        <v>526111.909868162</v>
      </c>
      <c r="AU42" t="n">
        <v>2658409.85963585</v>
      </c>
      <c r="AV42" t="n">
        <v>146631.772635303</v>
      </c>
      <c r="AW42" t="n">
        <v>1019923.13677643</v>
      </c>
      <c r="AX42" t="n">
        <v>2608816.82277607</v>
      </c>
      <c r="AY42" t="n">
        <v>383125.431441702</v>
      </c>
      <c r="AZ42" t="n">
        <v>452535.838038615</v>
      </c>
      <c r="BA42" t="n">
        <v>587650.407883747</v>
      </c>
      <c r="BB42" t="n">
        <v>10125247.8908057</v>
      </c>
      <c r="BC42" t="n">
        <v>1107486.15564294</v>
      </c>
      <c r="BD42" t="n">
        <v>7270974.32379782</v>
      </c>
      <c r="BE42" t="n">
        <v>760376.806866586</v>
      </c>
      <c r="BF42" t="n">
        <v>842259.34049843</v>
      </c>
      <c r="BG42" t="n">
        <v>7489702.20501713</v>
      </c>
      <c r="BH42" t="n">
        <v>4180848.95829555</v>
      </c>
      <c r="BI42" t="n">
        <v>2174560.03820588</v>
      </c>
      <c r="BJ42" t="n">
        <v>4980152.57224509</v>
      </c>
      <c r="BK42" t="n">
        <v>195720.518114509</v>
      </c>
      <c r="BL42" t="n">
        <v>1089220.40676301</v>
      </c>
      <c r="BM42" t="n">
        <v>1379743.86850841</v>
      </c>
      <c r="BN42" t="n">
        <v>11514000.6305574</v>
      </c>
      <c r="BO42" t="n">
        <v>2557360.11197495</v>
      </c>
      <c r="BP42" t="n">
        <v>1319735.07106337</v>
      </c>
      <c r="BQ42" t="n">
        <v>8640288.30492467</v>
      </c>
      <c r="BR42" t="n">
        <v>7120492.01714116</v>
      </c>
      <c r="BS42" t="n">
        <v>36053341.6923516</v>
      </c>
      <c r="BT42" t="n">
        <v>19446910.0353932</v>
      </c>
      <c r="BU42" t="n">
        <v>112142125.691635</v>
      </c>
      <c r="BV42" t="n">
        <v>0</v>
      </c>
      <c r="BW42" t="n">
        <v>87246455.563454</v>
      </c>
      <c r="BX42" t="n">
        <v>0</v>
      </c>
      <c r="BY42" t="n">
        <v>512845.087004426</v>
      </c>
      <c r="BZ42" t="n">
        <v>16064862.1692538</v>
      </c>
      <c r="CA42" t="n">
        <v>341295796.119746</v>
      </c>
      <c r="CB42" t="n">
        <v>0</v>
      </c>
      <c r="CC42" t="n">
        <v>0</v>
      </c>
      <c r="CD42" t="n">
        <v>0</v>
      </c>
      <c r="CE42" t="n">
        <v>2222773.48550338</v>
      </c>
      <c r="CF42" t="n">
        <v>0</v>
      </c>
      <c r="CG42" t="n">
        <v>0</v>
      </c>
      <c r="CH42" t="n">
        <v>0</v>
      </c>
      <c r="CI42" t="n">
        <v>3261149.42033708</v>
      </c>
      <c r="CJ42" t="n">
        <v>0</v>
      </c>
      <c r="CK42" t="n">
        <v>0</v>
      </c>
      <c r="CL42" t="n">
        <v>0</v>
      </c>
      <c r="CM42" t="n">
        <v>10296459.1216107</v>
      </c>
      <c r="CN42" t="n">
        <v>0</v>
      </c>
    </row>
    <row r="43">
      <c r="A43" t="s">
        <v>154</v>
      </c>
      <c r="B43" t="n">
        <v>11878669.5902227</v>
      </c>
      <c r="C43" t="n">
        <v>64720.2360180618</v>
      </c>
      <c r="D43" t="n">
        <v>24668.9647578284</v>
      </c>
      <c r="E43" t="n">
        <v>4925555.73572792</v>
      </c>
      <c r="F43" t="n">
        <v>10349.3059217665</v>
      </c>
      <c r="G43" t="n">
        <v>2989700.15726354</v>
      </c>
      <c r="H43" t="n">
        <v>13965392.299848</v>
      </c>
      <c r="I43" t="n">
        <v>197851.932820709</v>
      </c>
      <c r="J43" t="n">
        <v>4343323.96419071</v>
      </c>
      <c r="K43" t="n">
        <v>3703626.41815573</v>
      </c>
      <c r="L43" t="n">
        <v>2654952.532762</v>
      </c>
      <c r="M43" t="n">
        <v>1232019.26982992</v>
      </c>
      <c r="N43" t="n">
        <v>379087.168011562</v>
      </c>
      <c r="O43" t="n">
        <v>810185.494328765</v>
      </c>
      <c r="P43" t="n">
        <v>304482.10337272</v>
      </c>
      <c r="Q43" t="n">
        <v>117137.508950924</v>
      </c>
      <c r="R43" t="n">
        <v>247005.148105263</v>
      </c>
      <c r="S43" t="n">
        <v>2032017.26227482</v>
      </c>
      <c r="T43" t="n">
        <v>13405499.6916812</v>
      </c>
      <c r="U43" t="n">
        <v>164631.219214459</v>
      </c>
      <c r="V43" t="n">
        <v>0</v>
      </c>
      <c r="W43" t="n">
        <v>2584881.51034713</v>
      </c>
      <c r="X43" t="n">
        <v>41621.033363865</v>
      </c>
      <c r="Y43" t="n">
        <v>2098472.45193859</v>
      </c>
      <c r="Z43" t="n">
        <v>4195123.24759489</v>
      </c>
      <c r="AA43" t="n">
        <v>2044919.93138857</v>
      </c>
      <c r="AB43" t="n">
        <v>370488.540405631</v>
      </c>
      <c r="AC43" t="n">
        <v>152628.482701936</v>
      </c>
      <c r="AD43" t="n">
        <v>202787.787863416</v>
      </c>
      <c r="AE43" t="n">
        <v>76488.034792166</v>
      </c>
      <c r="AF43" t="n">
        <v>231643.205935429</v>
      </c>
      <c r="AG43" t="n">
        <v>370758.116568302</v>
      </c>
      <c r="AH43" t="n">
        <v>215377.765953</v>
      </c>
      <c r="AI43" t="n">
        <v>33816.3314304386</v>
      </c>
      <c r="AJ43" t="n">
        <v>262267.821266597</v>
      </c>
      <c r="AK43" t="n">
        <v>23564.7829652293</v>
      </c>
      <c r="AL43" t="n">
        <v>24828.0971591836</v>
      </c>
      <c r="AM43" t="n">
        <v>83147.3595299117</v>
      </c>
      <c r="AN43" t="n">
        <v>29785.5873209304</v>
      </c>
      <c r="AO43" t="n">
        <v>25179.5110739333</v>
      </c>
      <c r="AP43" t="n">
        <v>0</v>
      </c>
      <c r="AQ43" t="n">
        <v>153718.66303959</v>
      </c>
      <c r="AR43" t="n">
        <v>62279.3588456185</v>
      </c>
      <c r="AS43" t="n">
        <v>69071.720392704</v>
      </c>
      <c r="AT43" t="n">
        <v>20094.84502542</v>
      </c>
      <c r="AU43" t="n">
        <v>0</v>
      </c>
      <c r="AV43" t="n">
        <v>25202.703288761</v>
      </c>
      <c r="AW43" t="n">
        <v>169150.902510369</v>
      </c>
      <c r="AX43" t="n">
        <v>335583.68775623</v>
      </c>
      <c r="AY43" t="n">
        <v>47655.070882006</v>
      </c>
      <c r="AZ43" t="n">
        <v>0</v>
      </c>
      <c r="BA43" t="n">
        <v>91821.7146705628</v>
      </c>
      <c r="BB43" t="n">
        <v>17566322.6354052</v>
      </c>
      <c r="BC43" t="n">
        <v>2828841.59308321</v>
      </c>
      <c r="BD43" t="n">
        <v>1451994.82866383</v>
      </c>
      <c r="BE43" t="n">
        <v>198371.282858227</v>
      </c>
      <c r="BF43" t="n">
        <v>3640424.89247739</v>
      </c>
      <c r="BG43" t="n">
        <v>2571505.68535963</v>
      </c>
      <c r="BH43" t="n">
        <v>3034063.08810062</v>
      </c>
      <c r="BI43" t="n">
        <v>197871.858342763</v>
      </c>
      <c r="BJ43" t="n">
        <v>259911.801767333</v>
      </c>
      <c r="BK43" t="n">
        <v>29682.31270901</v>
      </c>
      <c r="BL43" t="n">
        <v>132149.990339426</v>
      </c>
      <c r="BM43" t="n">
        <v>74108.4169284021</v>
      </c>
      <c r="BN43" t="n">
        <v>696235.86644426</v>
      </c>
      <c r="BO43" t="n">
        <v>482745.713946543</v>
      </c>
      <c r="BP43" t="n">
        <v>5541569.85154067</v>
      </c>
      <c r="BQ43" t="n">
        <v>1536968.84898757</v>
      </c>
      <c r="BR43" t="n">
        <v>5607291.89507058</v>
      </c>
      <c r="BS43" t="n">
        <v>9081684.90546909</v>
      </c>
      <c r="BT43" t="n">
        <v>1989387.26685194</v>
      </c>
      <c r="BU43" t="n">
        <v>306444816.384978</v>
      </c>
      <c r="BV43" t="n">
        <v>0</v>
      </c>
      <c r="BW43" t="n">
        <v>56163.5814944291</v>
      </c>
      <c r="BX43" t="n">
        <v>0</v>
      </c>
      <c r="BY43" t="n">
        <v>0</v>
      </c>
      <c r="BZ43" t="n">
        <v>979360.574826799</v>
      </c>
      <c r="CA43" t="n">
        <v>96451220.4821361</v>
      </c>
      <c r="CB43" t="n">
        <v>0</v>
      </c>
      <c r="CC43" t="n">
        <v>0</v>
      </c>
      <c r="CD43" t="n">
        <v>0</v>
      </c>
      <c r="CE43" t="n">
        <v>41829.7184336822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156990964.825417</v>
      </c>
      <c r="C44" t="n">
        <v>2389215.88619683</v>
      </c>
      <c r="D44" t="n">
        <v>97742.2130884347</v>
      </c>
      <c r="E44" t="n">
        <v>23460493.4283918</v>
      </c>
      <c r="F44" t="n">
        <v>74716.3863403858</v>
      </c>
      <c r="G44" t="n">
        <v>16003072.5752756</v>
      </c>
      <c r="H44" t="n">
        <v>284588843.974056</v>
      </c>
      <c r="I44" t="n">
        <v>48967079.5116501</v>
      </c>
      <c r="J44" t="n">
        <v>46538783.0343379</v>
      </c>
      <c r="K44" t="n">
        <v>56038680.8433209</v>
      </c>
      <c r="L44" t="n">
        <v>77495263.1588836</v>
      </c>
      <c r="M44" t="n">
        <v>74236779.6084609</v>
      </c>
      <c r="N44" t="n">
        <v>24079185.3846541</v>
      </c>
      <c r="O44" t="n">
        <v>18492173.0476659</v>
      </c>
      <c r="P44" t="n">
        <v>27249592.4784541</v>
      </c>
      <c r="Q44" t="n">
        <v>8300797.61212877</v>
      </c>
      <c r="R44" t="n">
        <v>21216463.797615</v>
      </c>
      <c r="S44" t="n">
        <v>49901013.2940167</v>
      </c>
      <c r="T44" t="n">
        <v>392811586.466512</v>
      </c>
      <c r="U44" t="n">
        <v>4089190.80812342</v>
      </c>
      <c r="V44" t="n">
        <v>1256178.75275376</v>
      </c>
      <c r="W44" t="n">
        <v>55183073.372635</v>
      </c>
      <c r="X44" t="n">
        <v>25622500.7020847</v>
      </c>
      <c r="Y44" t="n">
        <v>90375751.0753084</v>
      </c>
      <c r="Z44" t="n">
        <v>37088158.9449925</v>
      </c>
      <c r="AA44" t="n">
        <v>36630695.0980219</v>
      </c>
      <c r="AB44" t="n">
        <v>94351870.1643012</v>
      </c>
      <c r="AC44" t="n">
        <v>23966216.7363918</v>
      </c>
      <c r="AD44" t="n">
        <v>16982609.4121427</v>
      </c>
      <c r="AE44" t="n">
        <v>13858885.7163108</v>
      </c>
      <c r="AF44" t="n">
        <v>56563964.0493275</v>
      </c>
      <c r="AG44" t="n">
        <v>29110653.7076327</v>
      </c>
      <c r="AH44" t="n">
        <v>7150717.78565185</v>
      </c>
      <c r="AI44" t="n">
        <v>2222442.42021765</v>
      </c>
      <c r="AJ44" t="n">
        <v>133770740.297035</v>
      </c>
      <c r="AK44" t="n">
        <v>3048391.71697091</v>
      </c>
      <c r="AL44" t="n">
        <v>549416.892481084</v>
      </c>
      <c r="AM44" t="n">
        <v>30881104.1724969</v>
      </c>
      <c r="AN44" t="n">
        <v>8077941.49547271</v>
      </c>
      <c r="AO44" t="n">
        <v>8577843.81419333</v>
      </c>
      <c r="AP44" t="n">
        <v>417834.823635377</v>
      </c>
      <c r="AQ44" t="n">
        <v>9389103.80371847</v>
      </c>
      <c r="AR44" t="n">
        <v>5077467.40322475</v>
      </c>
      <c r="AS44" t="n">
        <v>3206353.54407899</v>
      </c>
      <c r="AT44" t="n">
        <v>1696788.21358771</v>
      </c>
      <c r="AU44" t="n">
        <v>3898999.8213532</v>
      </c>
      <c r="AV44" t="n">
        <v>775757.147912805</v>
      </c>
      <c r="AW44" t="n">
        <v>1624659.26084949</v>
      </c>
      <c r="AX44" t="n">
        <v>6415103.61124484</v>
      </c>
      <c r="AY44" t="n">
        <v>2364270.75051831</v>
      </c>
      <c r="AZ44" t="n">
        <v>1276644.83180754</v>
      </c>
      <c r="BA44" t="n">
        <v>5328028.57999443</v>
      </c>
      <c r="BB44" t="n">
        <v>41288811.6011132</v>
      </c>
      <c r="BC44" t="n">
        <v>7697856.85441073</v>
      </c>
      <c r="BD44" t="n">
        <v>18393868.2640508</v>
      </c>
      <c r="BE44" t="n">
        <v>5513852.59349588</v>
      </c>
      <c r="BF44" t="n">
        <v>4480777.93910862</v>
      </c>
      <c r="BG44" t="n">
        <v>24880290.9506335</v>
      </c>
      <c r="BH44" t="n">
        <v>26462890.2360693</v>
      </c>
      <c r="BI44" t="n">
        <v>9675515.88892116</v>
      </c>
      <c r="BJ44" t="n">
        <v>15481604.1056562</v>
      </c>
      <c r="BK44" t="n">
        <v>1753206.29037601</v>
      </c>
      <c r="BL44" t="n">
        <v>6761128.44926469</v>
      </c>
      <c r="BM44" t="n">
        <v>4788275.58394721</v>
      </c>
      <c r="BN44" t="n">
        <v>30724265.0268058</v>
      </c>
      <c r="BO44" t="n">
        <v>22838445.0732585</v>
      </c>
      <c r="BP44" t="n">
        <v>19416155.3297793</v>
      </c>
      <c r="BQ44" t="n">
        <v>4638462.38886905</v>
      </c>
      <c r="BR44" t="n">
        <v>6190959.12141753</v>
      </c>
      <c r="BS44" t="n">
        <v>74680223.2140364</v>
      </c>
      <c r="BT44" t="n">
        <v>12110348.6152216</v>
      </c>
      <c r="BU44" t="n">
        <v>900897674.548697</v>
      </c>
      <c r="BV44" t="n">
        <v>122343.412669712</v>
      </c>
      <c r="BW44" t="n">
        <v>284206402.589973</v>
      </c>
      <c r="BX44" t="n">
        <v>10928695.7576722</v>
      </c>
      <c r="BY44" t="n">
        <v>6825338.49251624</v>
      </c>
      <c r="BZ44" t="n">
        <v>30973273.9742155</v>
      </c>
      <c r="CA44" t="n">
        <v>672460567.739074</v>
      </c>
      <c r="CB44" t="n">
        <v>0</v>
      </c>
      <c r="CC44" t="n">
        <v>0</v>
      </c>
      <c r="CD44" t="n">
        <v>0</v>
      </c>
      <c r="CE44" t="n">
        <v>9569617.30484814</v>
      </c>
      <c r="CF44" t="n">
        <v>429182.83670228</v>
      </c>
      <c r="CG44" t="n">
        <v>0</v>
      </c>
      <c r="CH44" t="n">
        <v>0</v>
      </c>
      <c r="CI44" t="n">
        <v>2726736.64299597</v>
      </c>
      <c r="CJ44" t="n">
        <v>533578.661846078</v>
      </c>
      <c r="CK44" t="n">
        <v>0</v>
      </c>
      <c r="CL44" t="n">
        <v>0</v>
      </c>
      <c r="CM44" t="n">
        <v>11520014.4236452</v>
      </c>
      <c r="CN44" t="n">
        <v>1059841.32697536</v>
      </c>
    </row>
    <row r="45">
      <c r="A45" t="s">
        <v>156</v>
      </c>
      <c r="B45" t="n">
        <v>0</v>
      </c>
      <c r="C45" t="n">
        <v>11376.6983424136</v>
      </c>
      <c r="D45" t="n">
        <v>146.995844946707</v>
      </c>
      <c r="E45" t="n">
        <v>179446.119187596</v>
      </c>
      <c r="F45" t="n">
        <v>26096.5266272879</v>
      </c>
      <c r="G45" t="n">
        <v>17621212.5599059</v>
      </c>
      <c r="H45" t="n">
        <v>11428777.7333547</v>
      </c>
      <c r="I45" t="n">
        <v>2225852.70477594</v>
      </c>
      <c r="J45" t="n">
        <v>2320982.99288896</v>
      </c>
      <c r="K45" t="n">
        <v>1066753.65526941</v>
      </c>
      <c r="L45" t="n">
        <v>5850220.74703282</v>
      </c>
      <c r="M45" t="n">
        <v>4181996.64537213</v>
      </c>
      <c r="N45" t="n">
        <v>752605.766611358</v>
      </c>
      <c r="O45" t="n">
        <v>290011.985627212</v>
      </c>
      <c r="P45" t="n">
        <v>747809.959510631</v>
      </c>
      <c r="Q45" t="n">
        <v>284526.706803347</v>
      </c>
      <c r="R45" t="n">
        <v>1389415.48148003</v>
      </c>
      <c r="S45" t="n">
        <v>4945756.11006582</v>
      </c>
      <c r="T45" t="n">
        <v>4660660.5154463</v>
      </c>
      <c r="U45" t="n">
        <v>74415.3981851353</v>
      </c>
      <c r="V45" t="n">
        <v>14544.1314029998</v>
      </c>
      <c r="W45" t="n">
        <v>1909039.16066131</v>
      </c>
      <c r="X45" t="n">
        <v>4506814.89707821</v>
      </c>
      <c r="Y45" t="n">
        <v>1135000.52317047</v>
      </c>
      <c r="Z45" t="n">
        <v>1002253.09723271</v>
      </c>
      <c r="AA45" t="n">
        <v>3330838.07974537</v>
      </c>
      <c r="AB45" t="n">
        <v>34473086.8173155</v>
      </c>
      <c r="AC45" t="n">
        <v>2164242.13787634</v>
      </c>
      <c r="AD45" t="n">
        <v>114069.076727278</v>
      </c>
      <c r="AE45" t="n">
        <v>623860.707883903</v>
      </c>
      <c r="AF45" t="n">
        <v>2311280.62113498</v>
      </c>
      <c r="AG45" t="n">
        <v>24827.7583626203</v>
      </c>
      <c r="AH45" t="n">
        <v>8645775.77620924</v>
      </c>
      <c r="AI45" t="n">
        <v>0</v>
      </c>
      <c r="AJ45" t="n">
        <v>0</v>
      </c>
      <c r="AK45" t="n">
        <v>0</v>
      </c>
      <c r="AL45" t="n">
        <v>27931.8409622452</v>
      </c>
      <c r="AM45" t="n">
        <v>2247595.70316569</v>
      </c>
      <c r="AN45" t="n">
        <v>62829.4943437372</v>
      </c>
      <c r="AO45" t="n">
        <v>4461531.62099409</v>
      </c>
      <c r="AP45" t="n">
        <v>554451.408888138</v>
      </c>
      <c r="AQ45" t="n">
        <v>6541946.37228377</v>
      </c>
      <c r="AR45" t="n">
        <v>11504968.4554478</v>
      </c>
      <c r="AS45" t="n">
        <v>90139342.7006752</v>
      </c>
      <c r="AT45" t="n">
        <v>25800111.099165</v>
      </c>
      <c r="AU45" t="n">
        <v>29434472.4476043</v>
      </c>
      <c r="AV45" t="n">
        <v>9214814.81481482</v>
      </c>
      <c r="AW45" t="n">
        <v>129747.506989062</v>
      </c>
      <c r="AX45" t="n">
        <v>77635609.5229531</v>
      </c>
      <c r="AY45" t="n">
        <v>6067948.83972561</v>
      </c>
      <c r="AZ45" t="n">
        <v>9578145.79807749</v>
      </c>
      <c r="BA45" t="n">
        <v>39415515.2797385</v>
      </c>
      <c r="BB45" t="n">
        <v>78652156.0241178</v>
      </c>
      <c r="BC45" t="n">
        <v>9777925.79552347</v>
      </c>
      <c r="BD45" t="n">
        <v>49850149.6932515</v>
      </c>
      <c r="BE45" t="n">
        <v>4085971.8003516</v>
      </c>
      <c r="BF45" t="n">
        <v>7858712.66358097</v>
      </c>
      <c r="BG45" t="n">
        <v>55054055.5926423</v>
      </c>
      <c r="BH45" t="n">
        <v>76238952.7441464</v>
      </c>
      <c r="BI45" t="n">
        <v>21085894.7846262</v>
      </c>
      <c r="BJ45" t="n">
        <v>8089821.92452214</v>
      </c>
      <c r="BK45" t="n">
        <v>34422492.5093766</v>
      </c>
      <c r="BL45" t="n">
        <v>1409267.44438809</v>
      </c>
      <c r="BM45" t="n">
        <v>1540078.31223282</v>
      </c>
      <c r="BN45" t="n">
        <v>18958738.9989841</v>
      </c>
      <c r="BO45" t="n">
        <v>6324180.10145146</v>
      </c>
      <c r="BP45" t="n">
        <v>259005.913954223</v>
      </c>
      <c r="BQ45" t="n">
        <v>65496.3748399356</v>
      </c>
      <c r="BR45" t="n">
        <v>179990.991460242</v>
      </c>
      <c r="BS45" t="n">
        <v>336265430.442008</v>
      </c>
      <c r="BT45" t="n">
        <v>11257005.6868785</v>
      </c>
      <c r="BU45" t="n">
        <v>945013905.442988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1646463.5931995</v>
      </c>
      <c r="C46" t="n">
        <v>12500.4583635993</v>
      </c>
      <c r="D46" t="n">
        <v>209905.80862229</v>
      </c>
      <c r="E46" t="n">
        <v>567853.429952317</v>
      </c>
      <c r="F46" t="n">
        <v>1838.09436915405</v>
      </c>
      <c r="G46" t="n">
        <v>26639024.2760376</v>
      </c>
      <c r="H46" t="n">
        <v>1977887.85921277</v>
      </c>
      <c r="I46" t="n">
        <v>99357.2335552212</v>
      </c>
      <c r="J46" t="n">
        <v>49215.2258898611</v>
      </c>
      <c r="K46" t="n">
        <v>44127.0492512243</v>
      </c>
      <c r="L46" t="n">
        <v>129207.839228247</v>
      </c>
      <c r="M46" t="n">
        <v>105030.472173444</v>
      </c>
      <c r="N46" t="n">
        <v>20673.6540922779</v>
      </c>
      <c r="O46" t="n">
        <v>31865.8598669375</v>
      </c>
      <c r="P46" t="n">
        <v>9276.99431708226</v>
      </c>
      <c r="Q46" t="n">
        <v>4936.28681974791</v>
      </c>
      <c r="R46" t="n">
        <v>31805.3801969329</v>
      </c>
      <c r="S46" t="n">
        <v>205295.201742596</v>
      </c>
      <c r="T46" t="n">
        <v>243421.070077418</v>
      </c>
      <c r="U46" t="n">
        <v>14536.1694950882</v>
      </c>
      <c r="V46" t="n">
        <v>0</v>
      </c>
      <c r="W46" t="n">
        <v>166659.343173175</v>
      </c>
      <c r="X46" t="n">
        <v>115760.713857174</v>
      </c>
      <c r="Y46" t="n">
        <v>94797205.3670433</v>
      </c>
      <c r="Z46" t="n">
        <v>741331.283785265</v>
      </c>
      <c r="AA46" t="n">
        <v>90927.9356860618</v>
      </c>
      <c r="AB46" t="n">
        <v>443662.083492412</v>
      </c>
      <c r="AC46" t="n">
        <v>62889.7910308796</v>
      </c>
      <c r="AD46" t="n">
        <v>37600.9550737822</v>
      </c>
      <c r="AE46" t="n">
        <v>23637.3796650847</v>
      </c>
      <c r="AF46" t="n">
        <v>115900.422043897</v>
      </c>
      <c r="AG46" t="n">
        <v>3006275.65279691</v>
      </c>
      <c r="AH46" t="n">
        <v>568776.788152921</v>
      </c>
      <c r="AI46" t="n">
        <v>275193.490061599</v>
      </c>
      <c r="AJ46" t="n">
        <v>1557953.2816197</v>
      </c>
      <c r="AK46" t="n">
        <v>182057.796094499</v>
      </c>
      <c r="AL46" t="n">
        <v>7672.71849130239</v>
      </c>
      <c r="AM46" t="n">
        <v>579572.564333074</v>
      </c>
      <c r="AN46" t="n">
        <v>170287.874467691</v>
      </c>
      <c r="AO46" t="n">
        <v>31125.268920975</v>
      </c>
      <c r="AP46" t="n">
        <v>1552.14941461878</v>
      </c>
      <c r="AQ46" t="n">
        <v>22502.011133431</v>
      </c>
      <c r="AR46" t="n">
        <v>22745.7692106127</v>
      </c>
      <c r="AS46" t="n">
        <v>397026.089017894</v>
      </c>
      <c r="AT46" t="n">
        <v>201824.483792725</v>
      </c>
      <c r="AU46" t="n">
        <v>10382.6425022338</v>
      </c>
      <c r="AV46" t="n">
        <v>124615.750495697</v>
      </c>
      <c r="AW46" t="n">
        <v>19008.482778651</v>
      </c>
      <c r="AX46" t="n">
        <v>240511.202906223</v>
      </c>
      <c r="AY46" t="n">
        <v>44181.0672662178</v>
      </c>
      <c r="AZ46" t="n">
        <v>3248.2251789423</v>
      </c>
      <c r="BA46" t="n">
        <v>85128.010037047</v>
      </c>
      <c r="BB46" t="n">
        <v>108139.15360944</v>
      </c>
      <c r="BC46" t="n">
        <v>130722.595459403</v>
      </c>
      <c r="BD46" t="n">
        <v>399201.905715788</v>
      </c>
      <c r="BE46" t="n">
        <v>97364.2388015253</v>
      </c>
      <c r="BF46" t="n">
        <v>88816.8899394346</v>
      </c>
      <c r="BG46" t="n">
        <v>96325.0778051382</v>
      </c>
      <c r="BH46" t="n">
        <v>143111.598314389</v>
      </c>
      <c r="BI46" t="n">
        <v>101915.117691122</v>
      </c>
      <c r="BJ46" t="n">
        <v>96385.8039418198</v>
      </c>
      <c r="BK46" t="n">
        <v>15288.0577279628</v>
      </c>
      <c r="BL46" t="n">
        <v>54451.7322720775</v>
      </c>
      <c r="BM46" t="n">
        <v>43259.3287524895</v>
      </c>
      <c r="BN46" t="n">
        <v>228200.359771003</v>
      </c>
      <c r="BO46" t="n">
        <v>184517.905455431</v>
      </c>
      <c r="BP46" t="n">
        <v>261622.931122</v>
      </c>
      <c r="BQ46" t="n">
        <v>43179.559588091</v>
      </c>
      <c r="BR46" t="n">
        <v>953063.159189321</v>
      </c>
      <c r="BS46" t="n">
        <v>5838436.36099883</v>
      </c>
      <c r="BT46" t="n">
        <v>16113780.493024</v>
      </c>
      <c r="BU46" t="n">
        <v>12275573.640269</v>
      </c>
      <c r="BV46" t="n">
        <v>0</v>
      </c>
      <c r="BW46" t="n">
        <v>0</v>
      </c>
      <c r="BX46" t="n">
        <v>0</v>
      </c>
      <c r="BY46" t="n">
        <v>0</v>
      </c>
      <c r="BZ46" t="n">
        <v>14702058.6218158</v>
      </c>
      <c r="CA46" t="n">
        <v>67153048.5202029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420937.838669304</v>
      </c>
      <c r="D47" t="n">
        <v>3086.91274388086</v>
      </c>
      <c r="E47" t="n">
        <v>18985399.4100477</v>
      </c>
      <c r="F47" t="n">
        <v>1338.283416784</v>
      </c>
      <c r="G47" t="n">
        <v>143364979.372846</v>
      </c>
      <c r="H47" t="n">
        <v>0</v>
      </c>
      <c r="I47" t="n">
        <v>22675874.4299049</v>
      </c>
      <c r="J47" t="n">
        <v>17081620.4476652</v>
      </c>
      <c r="K47" t="n">
        <v>1681705.76242472</v>
      </c>
      <c r="L47" t="n">
        <v>2616430.38435136</v>
      </c>
      <c r="M47" t="n">
        <v>567556.687586217</v>
      </c>
      <c r="N47" t="n">
        <v>0</v>
      </c>
      <c r="O47" t="n">
        <v>82860.5673220605</v>
      </c>
      <c r="P47" t="n">
        <v>66337.9802791689</v>
      </c>
      <c r="Q47" t="n">
        <v>0</v>
      </c>
      <c r="R47" t="n">
        <v>6947077.40740017</v>
      </c>
      <c r="S47" t="n">
        <v>9836559.37446424</v>
      </c>
      <c r="T47" t="n">
        <v>10617110.0531243</v>
      </c>
      <c r="U47" t="n">
        <v>471297.52183919</v>
      </c>
      <c r="V47" t="n">
        <v>0</v>
      </c>
      <c r="W47" t="n">
        <v>14775440.079091</v>
      </c>
      <c r="X47" t="n">
        <v>20485522.2594464</v>
      </c>
      <c r="Y47" t="n">
        <v>20165175.9616621</v>
      </c>
      <c r="Z47" t="n">
        <v>1531899.04292479</v>
      </c>
      <c r="AA47" t="n">
        <v>11068312.873688</v>
      </c>
      <c r="AB47" t="n">
        <v>1354913879.48106</v>
      </c>
      <c r="AC47" t="n">
        <v>33948194.8569363</v>
      </c>
      <c r="AD47" t="n">
        <v>30627547.1012742</v>
      </c>
      <c r="AE47" t="n">
        <v>11014368.3598813</v>
      </c>
      <c r="AF47" t="n">
        <v>200352352.366304</v>
      </c>
      <c r="AG47" t="n">
        <v>700018647.034079</v>
      </c>
      <c r="AH47" t="n">
        <v>34390362.8805266</v>
      </c>
      <c r="AI47" t="n">
        <v>63057413.4931374</v>
      </c>
      <c r="AJ47" t="n">
        <v>1006338172.331</v>
      </c>
      <c r="AK47" t="n">
        <v>19965796.1572438</v>
      </c>
      <c r="AL47" t="n">
        <v>6382425.65987304</v>
      </c>
      <c r="AM47" t="n">
        <v>373932367.216848</v>
      </c>
      <c r="AN47" t="n">
        <v>59468116.3963473</v>
      </c>
      <c r="AO47" t="n">
        <v>22909610.7839934</v>
      </c>
      <c r="AP47" t="n">
        <v>3785808.34603875</v>
      </c>
      <c r="AQ47" t="n">
        <v>1433539.55288305</v>
      </c>
      <c r="AR47" t="n">
        <v>34188466.8150125</v>
      </c>
      <c r="AS47" t="n">
        <v>21602359.7161963</v>
      </c>
      <c r="AT47" t="n">
        <v>62818890.441888</v>
      </c>
      <c r="AU47" t="n">
        <v>1606375.70340055</v>
      </c>
      <c r="AV47" t="n">
        <v>0</v>
      </c>
      <c r="AW47" t="n">
        <v>0</v>
      </c>
      <c r="AX47" t="n">
        <v>0</v>
      </c>
      <c r="AY47" t="n">
        <v>25941090.5216382</v>
      </c>
      <c r="AZ47" t="n">
        <v>9755518.86841226</v>
      </c>
      <c r="BA47" t="n">
        <v>15801715.5851204</v>
      </c>
      <c r="BB47" t="n">
        <v>145313753.955716</v>
      </c>
      <c r="BC47" t="n">
        <v>21117345.4443244</v>
      </c>
      <c r="BD47" t="n">
        <v>39415414.9693252</v>
      </c>
      <c r="BE47" t="n">
        <v>27863373.9638435</v>
      </c>
      <c r="BF47" t="n">
        <v>5688211.07078241</v>
      </c>
      <c r="BG47" t="n">
        <v>48106549.3733478</v>
      </c>
      <c r="BH47" t="n">
        <v>111293151.634754</v>
      </c>
      <c r="BI47" t="n">
        <v>11439561.6866741</v>
      </c>
      <c r="BJ47" t="n">
        <v>31847582.094429</v>
      </c>
      <c r="BK47" t="n">
        <v>8083859.39690696</v>
      </c>
      <c r="BL47" t="n">
        <v>9864872.11071661</v>
      </c>
      <c r="BM47" t="n">
        <v>1343226.19713539</v>
      </c>
      <c r="BN47" t="n">
        <v>14033620.5735829</v>
      </c>
      <c r="BO47" t="n">
        <v>19794326.4192322</v>
      </c>
      <c r="BP47" t="n">
        <v>18175.8536108227</v>
      </c>
      <c r="BQ47" t="n">
        <v>2385939.36916908</v>
      </c>
      <c r="BR47" t="n">
        <v>11022305.4770415</v>
      </c>
      <c r="BS47" t="n">
        <v>15959370.6175626</v>
      </c>
      <c r="BT47" t="n">
        <v>36535311.3565256</v>
      </c>
      <c r="BU47" t="n">
        <v>304727850.615812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146778487.6672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10715813.6964068</v>
      </c>
      <c r="C48" t="n">
        <v>0</v>
      </c>
      <c r="D48" t="n">
        <v>446.545302617016</v>
      </c>
      <c r="E48" t="n">
        <v>2671102.88704497</v>
      </c>
      <c r="F48" t="n">
        <v>0</v>
      </c>
      <c r="G48" t="n">
        <v>5783804.97800938</v>
      </c>
      <c r="H48" t="n">
        <v>0</v>
      </c>
      <c r="I48" t="n">
        <v>20742970.7036428</v>
      </c>
      <c r="J48" t="n">
        <v>17678297.8626423</v>
      </c>
      <c r="K48" t="n">
        <v>438433.288073515</v>
      </c>
      <c r="L48" t="n">
        <v>8871042.35672245</v>
      </c>
      <c r="M48" t="n">
        <v>6609160.47973418</v>
      </c>
      <c r="N48" t="n">
        <v>6922325.31428652</v>
      </c>
      <c r="O48" t="n">
        <v>881001.023746051</v>
      </c>
      <c r="P48" t="n">
        <v>274802.883245714</v>
      </c>
      <c r="Q48" t="n">
        <v>314649.284766168</v>
      </c>
      <c r="R48" t="n">
        <v>1465548.21948086</v>
      </c>
      <c r="S48" t="n">
        <v>13048850.1962249</v>
      </c>
      <c r="T48" t="n">
        <v>39247197.9744461</v>
      </c>
      <c r="U48" t="n">
        <v>3817898.29208902</v>
      </c>
      <c r="V48" t="n">
        <v>1038283.89628092</v>
      </c>
      <c r="W48" t="n">
        <v>33935152.034456</v>
      </c>
      <c r="X48" t="n">
        <v>19084205.2729093</v>
      </c>
      <c r="Y48" t="n">
        <v>12479536.1357212</v>
      </c>
      <c r="Z48" t="n">
        <v>11015209.7875428</v>
      </c>
      <c r="AA48" t="n">
        <v>32460741.5734879</v>
      </c>
      <c r="AB48" t="n">
        <v>305825760.165147</v>
      </c>
      <c r="AC48" t="n">
        <v>65573481.3846007</v>
      </c>
      <c r="AD48" t="n">
        <v>58715900.6413955</v>
      </c>
      <c r="AE48" t="n">
        <v>44155275.2140245</v>
      </c>
      <c r="AF48" t="n">
        <v>185662031.285026</v>
      </c>
      <c r="AG48" t="n">
        <v>1935831.02842704</v>
      </c>
      <c r="AH48" t="n">
        <v>13940.666441215</v>
      </c>
      <c r="AI48" t="n">
        <v>7207039.90152115</v>
      </c>
      <c r="AJ48" t="n">
        <v>65387564.8463451</v>
      </c>
      <c r="AK48" t="n">
        <v>2265022.73701325</v>
      </c>
      <c r="AL48" t="n">
        <v>2085935.12285962</v>
      </c>
      <c r="AM48" t="n">
        <v>7150079.16014407</v>
      </c>
      <c r="AN48" t="n">
        <v>36624681.6918293</v>
      </c>
      <c r="AO48" t="n">
        <v>3836510.75047239</v>
      </c>
      <c r="AP48" t="n">
        <v>509586.500861042</v>
      </c>
      <c r="AQ48" t="n">
        <v>2183170.03003343</v>
      </c>
      <c r="AR48" t="n">
        <v>5546834.84277508</v>
      </c>
      <c r="AS48" t="n">
        <v>0</v>
      </c>
      <c r="AT48" t="n">
        <v>0</v>
      </c>
      <c r="AU48" t="n">
        <v>215288.055426394</v>
      </c>
      <c r="AV48" t="n">
        <v>0</v>
      </c>
      <c r="AW48" t="n">
        <v>10948.5596142831</v>
      </c>
      <c r="AX48" t="n">
        <v>2252070.92523818</v>
      </c>
      <c r="AY48" t="n">
        <v>2214706.76474664</v>
      </c>
      <c r="AZ48" t="n">
        <v>1332096.40388405</v>
      </c>
      <c r="BA48" t="n">
        <v>2034839.27670343</v>
      </c>
      <c r="BB48" t="n">
        <v>10547145.9896577</v>
      </c>
      <c r="BC48" t="n">
        <v>207058.417100679</v>
      </c>
      <c r="BD48" t="n">
        <v>93221077.4427043</v>
      </c>
      <c r="BE48" t="n">
        <v>2675229.87378578</v>
      </c>
      <c r="BF48" t="n">
        <v>1409659.64362102</v>
      </c>
      <c r="BG48" t="n">
        <v>7845096.89036659</v>
      </c>
      <c r="BH48" t="n">
        <v>17418274.2632629</v>
      </c>
      <c r="BI48" t="n">
        <v>2802011.46093945</v>
      </c>
      <c r="BJ48" t="n">
        <v>3096590.77431381</v>
      </c>
      <c r="BK48" t="n">
        <v>1775220.79039436</v>
      </c>
      <c r="BL48" t="n">
        <v>972261.140383773</v>
      </c>
      <c r="BM48" t="n">
        <v>3447289.09902873</v>
      </c>
      <c r="BN48" t="n">
        <v>7721131.06302518</v>
      </c>
      <c r="BO48" t="n">
        <v>6440063.9044584</v>
      </c>
      <c r="BP48" t="n">
        <v>1003068.35642892</v>
      </c>
      <c r="BQ48" t="n">
        <v>6068447.0726469</v>
      </c>
      <c r="BR48" t="n">
        <v>0</v>
      </c>
      <c r="BS48" t="n">
        <v>58336408.290851</v>
      </c>
      <c r="BT48" t="n">
        <v>623903.073616222</v>
      </c>
      <c r="BU48" t="n">
        <v>2717294.42503625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1857065.89582351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859707.31034497</v>
      </c>
      <c r="C49" t="n">
        <v>0</v>
      </c>
      <c r="D49" t="n">
        <v>1533.87807647077</v>
      </c>
      <c r="E49" t="n">
        <v>16282.5346602502</v>
      </c>
      <c r="F49" t="n">
        <v>758.955049351161</v>
      </c>
      <c r="G49" t="n">
        <v>1975838.04403578</v>
      </c>
      <c r="H49" t="n">
        <v>6330552.35265639</v>
      </c>
      <c r="I49" t="n">
        <v>315576.30622466</v>
      </c>
      <c r="J49" t="n">
        <v>9236.87469254037</v>
      </c>
      <c r="K49" t="n">
        <v>74019.5620962536</v>
      </c>
      <c r="L49" t="n">
        <v>1013656.2786056</v>
      </c>
      <c r="M49" t="n">
        <v>501435.772897261</v>
      </c>
      <c r="N49" t="n">
        <v>597535.25703723</v>
      </c>
      <c r="O49" t="n">
        <v>18796.4507883699</v>
      </c>
      <c r="P49" t="n">
        <v>76610.0130429321</v>
      </c>
      <c r="Q49" t="n">
        <v>441611.869942847</v>
      </c>
      <c r="R49" t="n">
        <v>105060.346419994</v>
      </c>
      <c r="S49" t="n">
        <v>673150.071296084</v>
      </c>
      <c r="T49" t="n">
        <v>75856.1049838476</v>
      </c>
      <c r="U49" t="n">
        <v>0</v>
      </c>
      <c r="V49" t="n">
        <v>0</v>
      </c>
      <c r="W49" t="n">
        <v>83051.592117609</v>
      </c>
      <c r="X49" t="n">
        <v>1062177.09641476</v>
      </c>
      <c r="Y49" t="n">
        <v>85822.8152346073</v>
      </c>
      <c r="Z49" t="n">
        <v>121995.603748044</v>
      </c>
      <c r="AA49" t="n">
        <v>75088.8714683074</v>
      </c>
      <c r="AB49" t="n">
        <v>31624810.0586209</v>
      </c>
      <c r="AC49" t="n">
        <v>3140431.95943021</v>
      </c>
      <c r="AD49" t="n">
        <v>664148.729801716</v>
      </c>
      <c r="AE49" t="n">
        <v>2000789.69557645</v>
      </c>
      <c r="AF49" t="n">
        <v>5397836.41355812</v>
      </c>
      <c r="AG49" t="n">
        <v>202753.313426497</v>
      </c>
      <c r="AH49" t="n">
        <v>774504.516659841</v>
      </c>
      <c r="AI49" t="n">
        <v>0</v>
      </c>
      <c r="AJ49" t="n">
        <v>316064.342695966</v>
      </c>
      <c r="AK49" t="n">
        <v>157861.718348464</v>
      </c>
      <c r="AL49" t="n">
        <v>0</v>
      </c>
      <c r="AM49" t="n">
        <v>2351813.78120282</v>
      </c>
      <c r="AN49" t="n">
        <v>574851.447982913</v>
      </c>
      <c r="AO49" t="n">
        <v>271323973.298152</v>
      </c>
      <c r="AP49" t="n">
        <v>104144.212611135</v>
      </c>
      <c r="AQ49" t="n">
        <v>2751213.47047445</v>
      </c>
      <c r="AR49" t="n">
        <v>8803007.25025446</v>
      </c>
      <c r="AS49" t="n">
        <v>5296985.98069279</v>
      </c>
      <c r="AT49" t="n">
        <v>5903891.64624087</v>
      </c>
      <c r="AU49" t="n">
        <v>5851790.93680386</v>
      </c>
      <c r="AV49" t="n">
        <v>1238117.70569296</v>
      </c>
      <c r="AW49" t="n">
        <v>0</v>
      </c>
      <c r="AX49" t="n">
        <v>3603325.95852563</v>
      </c>
      <c r="AY49" t="n">
        <v>1937575.05794957</v>
      </c>
      <c r="AZ49" t="n">
        <v>7188845.80195749</v>
      </c>
      <c r="BA49" t="n">
        <v>7520555.7955519</v>
      </c>
      <c r="BB49" t="n">
        <v>35199873.8056712</v>
      </c>
      <c r="BC49" t="n">
        <v>8484317.62795138</v>
      </c>
      <c r="BD49" t="n">
        <v>15429017.9765753</v>
      </c>
      <c r="BE49" t="n">
        <v>178675.581756407</v>
      </c>
      <c r="BF49" t="n">
        <v>4271699.5332914</v>
      </c>
      <c r="BG49" t="n">
        <v>17082474.7205352</v>
      </c>
      <c r="BH49" t="n">
        <v>18206213.9103062</v>
      </c>
      <c r="BI49" t="n">
        <v>1669216.10818177</v>
      </c>
      <c r="BJ49" t="n">
        <v>11541422.0327076</v>
      </c>
      <c r="BK49" t="n">
        <v>321936.886869536</v>
      </c>
      <c r="BL49" t="n">
        <v>477770.009666396</v>
      </c>
      <c r="BM49" t="n">
        <v>677702.081594151</v>
      </c>
      <c r="BN49" t="n">
        <v>1097044.24513933</v>
      </c>
      <c r="BO49" t="n">
        <v>4052554.99273016</v>
      </c>
      <c r="BP49" t="n">
        <v>123692.686029252</v>
      </c>
      <c r="BQ49" t="n">
        <v>4410549.65298227</v>
      </c>
      <c r="BR49" t="n">
        <v>108879.834245969</v>
      </c>
      <c r="BS49" t="n">
        <v>76059985.6312248</v>
      </c>
      <c r="BT49" t="n">
        <v>1450558.88468426</v>
      </c>
      <c r="BU49" t="n">
        <v>947909613.483482</v>
      </c>
      <c r="BV49" t="n">
        <v>0</v>
      </c>
      <c r="BW49" t="n">
        <v>0</v>
      </c>
      <c r="BX49" t="n">
        <v>1098775291.39407</v>
      </c>
      <c r="BY49" t="n">
        <v>0</v>
      </c>
      <c r="BZ49" t="n">
        <v>5549047.3644655</v>
      </c>
      <c r="CA49" t="n">
        <v>779729939.465234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89196848.8749466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158889.841224916</v>
      </c>
      <c r="AC50" t="n">
        <v>757631.425577729</v>
      </c>
      <c r="AD50" t="n">
        <v>686867.960773781</v>
      </c>
      <c r="AE50" t="n">
        <v>0</v>
      </c>
      <c r="AF50" t="n">
        <v>164264.577275138</v>
      </c>
      <c r="AG50" t="n">
        <v>27064.7579923083</v>
      </c>
      <c r="AH50" t="n">
        <v>0</v>
      </c>
      <c r="AI50" t="n">
        <v>0</v>
      </c>
      <c r="AJ50" t="n">
        <v>6381.71249173698</v>
      </c>
      <c r="AK50" t="n">
        <v>0</v>
      </c>
      <c r="AL50" t="n">
        <v>43497.8867996723</v>
      </c>
      <c r="AM50" t="n">
        <v>26301.713360248</v>
      </c>
      <c r="AN50" t="n">
        <v>0</v>
      </c>
      <c r="AO50" t="n">
        <v>264681.30409098</v>
      </c>
      <c r="AP50" t="n">
        <v>16774931.4383983</v>
      </c>
      <c r="AQ50" t="n">
        <v>67311374.3999073</v>
      </c>
      <c r="AR50" t="n">
        <v>233100.944121615</v>
      </c>
      <c r="AS50" t="n">
        <v>124036.316670723</v>
      </c>
      <c r="AT50" t="n">
        <v>66010.1402884819</v>
      </c>
      <c r="AU50" t="n">
        <v>0</v>
      </c>
      <c r="AV50" t="n">
        <v>0</v>
      </c>
      <c r="AW50" t="n">
        <v>0</v>
      </c>
      <c r="AX50" t="n">
        <v>104764.108697205</v>
      </c>
      <c r="AY50" t="n">
        <v>222955.932364251</v>
      </c>
      <c r="AZ50" t="n">
        <v>16112.8764051407</v>
      </c>
      <c r="BA50" t="n">
        <v>100542.60614709</v>
      </c>
      <c r="BB50" t="n">
        <v>7911008.00610719</v>
      </c>
      <c r="BC50" t="n">
        <v>1725344.60736363</v>
      </c>
      <c r="BD50" t="n">
        <v>131577.931062631</v>
      </c>
      <c r="BE50" t="n">
        <v>0</v>
      </c>
      <c r="BF50" t="n">
        <v>752944.953919716</v>
      </c>
      <c r="BG50" t="n">
        <v>170650.782667803</v>
      </c>
      <c r="BH50" t="n">
        <v>52456.2210217214</v>
      </c>
      <c r="BI50" t="n">
        <v>2691460.8470243</v>
      </c>
      <c r="BJ50" t="n">
        <v>3874317.59064527</v>
      </c>
      <c r="BK50" t="n">
        <v>799535.189892942</v>
      </c>
      <c r="BL50" t="n">
        <v>94055.7243040009</v>
      </c>
      <c r="BM50" t="n">
        <v>771797.790998198</v>
      </c>
      <c r="BN50" t="n">
        <v>6692612.60844905</v>
      </c>
      <c r="BO50" t="n">
        <v>909740.057958851</v>
      </c>
      <c r="BP50" t="n">
        <v>14152.5083133552</v>
      </c>
      <c r="BQ50" t="n">
        <v>1084078.56283643</v>
      </c>
      <c r="BR50" t="n">
        <v>80085.0263844657</v>
      </c>
      <c r="BS50" t="n">
        <v>975550.758904611</v>
      </c>
      <c r="BT50" t="n">
        <v>0</v>
      </c>
      <c r="BU50" t="n">
        <v>71076148.795266</v>
      </c>
      <c r="BV50" t="n">
        <v>0</v>
      </c>
      <c r="BW50" t="n">
        <v>0</v>
      </c>
      <c r="BX50" t="n">
        <v>23707750.3187307</v>
      </c>
      <c r="BY50" t="n">
        <v>0</v>
      </c>
      <c r="BZ50" t="n">
        <v>-322875.338829953</v>
      </c>
      <c r="CA50" t="n">
        <v>73165728.4665448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15167357.8898493</v>
      </c>
      <c r="C51" t="n">
        <v>52248.245589769</v>
      </c>
      <c r="D51" t="n">
        <v>45905.99880456</v>
      </c>
      <c r="E51" t="n">
        <v>3696759.07682041</v>
      </c>
      <c r="F51" t="n">
        <v>76387.936509919</v>
      </c>
      <c r="G51" t="n">
        <v>15747937.044565</v>
      </c>
      <c r="H51" t="n">
        <v>73692292.2470702</v>
      </c>
      <c r="I51" t="n">
        <v>8716401.76407671</v>
      </c>
      <c r="J51" t="n">
        <v>11621007.6961584</v>
      </c>
      <c r="K51" t="n">
        <v>2503088.62671822</v>
      </c>
      <c r="L51" t="n">
        <v>22797860.0428504</v>
      </c>
      <c r="M51" t="n">
        <v>21675453.9037582</v>
      </c>
      <c r="N51" t="n">
        <v>6830489.2631489</v>
      </c>
      <c r="O51" t="n">
        <v>1970667.44744044</v>
      </c>
      <c r="P51" t="n">
        <v>1915015.7525539</v>
      </c>
      <c r="Q51" t="n">
        <v>3085009.55676104</v>
      </c>
      <c r="R51" t="n">
        <v>3817195.32334806</v>
      </c>
      <c r="S51" t="n">
        <v>17017259.2336021</v>
      </c>
      <c r="T51" t="n">
        <v>20430843.852671</v>
      </c>
      <c r="U51" t="n">
        <v>509924.153325692</v>
      </c>
      <c r="V51" t="n">
        <v>162216.168919004</v>
      </c>
      <c r="W51" t="n">
        <v>5970746.74406539</v>
      </c>
      <c r="X51" t="n">
        <v>17203406.0229881</v>
      </c>
      <c r="Y51" t="n">
        <v>1563769.67097853</v>
      </c>
      <c r="Z51" t="n">
        <v>2961689.25458035</v>
      </c>
      <c r="AA51" t="n">
        <v>6216566.05142359</v>
      </c>
      <c r="AB51" t="n">
        <v>171024285.064199</v>
      </c>
      <c r="AC51" t="n">
        <v>22026331.958697</v>
      </c>
      <c r="AD51" t="n">
        <v>9654172.75709106</v>
      </c>
      <c r="AE51" t="n">
        <v>6210116.41611875</v>
      </c>
      <c r="AF51" t="n">
        <v>61428946.8904617</v>
      </c>
      <c r="AG51" t="n">
        <v>31910188.9140987</v>
      </c>
      <c r="AH51" t="n">
        <v>1878733.10770119</v>
      </c>
      <c r="AI51" t="n">
        <v>2631172.5187656</v>
      </c>
      <c r="AJ51" t="n">
        <v>21105503.7535003</v>
      </c>
      <c r="AK51" t="n">
        <v>17262651.9105291</v>
      </c>
      <c r="AL51" t="n">
        <v>7733381.6029915</v>
      </c>
      <c r="AM51" t="n">
        <v>11038226.1555514</v>
      </c>
      <c r="AN51" t="n">
        <v>2432052.83497682</v>
      </c>
      <c r="AO51" t="n">
        <v>26262824.1844761</v>
      </c>
      <c r="AP51" t="n">
        <v>2488430.69462279</v>
      </c>
      <c r="AQ51" t="n">
        <v>700753086.305754</v>
      </c>
      <c r="AR51" t="n">
        <v>82309232.016625</v>
      </c>
      <c r="AS51" t="n">
        <v>114288098.064763</v>
      </c>
      <c r="AT51" t="n">
        <v>42957031.4463295</v>
      </c>
      <c r="AU51" t="n">
        <v>50029846.3939376</v>
      </c>
      <c r="AV51" t="n">
        <v>26624176.2693431</v>
      </c>
      <c r="AW51" t="n">
        <v>184437.213921326</v>
      </c>
      <c r="AX51" t="n">
        <v>82028668.6830908</v>
      </c>
      <c r="AY51" t="n">
        <v>8625642.25076391</v>
      </c>
      <c r="AZ51" t="n">
        <v>33951266.3607565</v>
      </c>
      <c r="BA51" t="n">
        <v>25817410.4624644</v>
      </c>
      <c r="BB51" t="n">
        <v>110877429.685629</v>
      </c>
      <c r="BC51" t="n">
        <v>47979175.2060614</v>
      </c>
      <c r="BD51" t="n">
        <v>121778044.004597</v>
      </c>
      <c r="BE51" t="n">
        <v>11788744.8038641</v>
      </c>
      <c r="BF51" t="n">
        <v>21566609.352111</v>
      </c>
      <c r="BG51" t="n">
        <v>84692003.3766826</v>
      </c>
      <c r="BH51" t="n">
        <v>40737062.4092475</v>
      </c>
      <c r="BI51" t="n">
        <v>26653881.0392343</v>
      </c>
      <c r="BJ51" t="n">
        <v>12709411.3504839</v>
      </c>
      <c r="BK51" t="n">
        <v>7713593.65896357</v>
      </c>
      <c r="BL51" t="n">
        <v>14427723.171288</v>
      </c>
      <c r="BM51" t="n">
        <v>31338091.6504186</v>
      </c>
      <c r="BN51" t="n">
        <v>56109362.5717076</v>
      </c>
      <c r="BO51" t="n">
        <v>67371335.458532</v>
      </c>
      <c r="BP51" t="n">
        <v>19836956.9484315</v>
      </c>
      <c r="BQ51" t="n">
        <v>56162997.6512113</v>
      </c>
      <c r="BR51" t="n">
        <v>11488339.7451359</v>
      </c>
      <c r="BS51" t="n">
        <v>918578401.868463</v>
      </c>
      <c r="BT51" t="n">
        <v>13656632.789955</v>
      </c>
      <c r="BU51" t="n">
        <v>4659414954.31112</v>
      </c>
      <c r="BV51" t="n">
        <v>0</v>
      </c>
      <c r="BW51" t="n">
        <v>54438787.9022966</v>
      </c>
      <c r="BX51" t="n">
        <v>242431583.002159</v>
      </c>
      <c r="BY51" t="n">
        <v>0</v>
      </c>
      <c r="BZ51" t="n">
        <v>0</v>
      </c>
      <c r="CA51" t="n">
        <v>122622197.616629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4346.06652766777</v>
      </c>
      <c r="E52" t="n">
        <v>204057.251886122</v>
      </c>
      <c r="F52" t="n">
        <v>2758.31635694864</v>
      </c>
      <c r="G52" t="n">
        <v>47266374.6280077</v>
      </c>
      <c r="H52" t="n">
        <v>21412019.0009764</v>
      </c>
      <c r="I52" t="n">
        <v>11963542.3068679</v>
      </c>
      <c r="J52" t="n">
        <v>12583012.2192248</v>
      </c>
      <c r="K52" t="n">
        <v>4745203.33202486</v>
      </c>
      <c r="L52" t="n">
        <v>31357395.1467282</v>
      </c>
      <c r="M52" t="n">
        <v>31250821.2563768</v>
      </c>
      <c r="N52" t="n">
        <v>3726409.2864593</v>
      </c>
      <c r="O52" t="n">
        <v>4746581.30864531</v>
      </c>
      <c r="P52" t="n">
        <v>1892764.60027152</v>
      </c>
      <c r="Q52" t="n">
        <v>5547174.44743316</v>
      </c>
      <c r="R52" t="n">
        <v>7932788.98344071</v>
      </c>
      <c r="S52" t="n">
        <v>23246152.8853558</v>
      </c>
      <c r="T52" t="n">
        <v>20545918.8071845</v>
      </c>
      <c r="U52" t="n">
        <v>573545.793111381</v>
      </c>
      <c r="V52" t="n">
        <v>165388.669234142</v>
      </c>
      <c r="W52" t="n">
        <v>12058708.5529639</v>
      </c>
      <c r="X52" t="n">
        <v>9917066.54742953</v>
      </c>
      <c r="Y52" t="n">
        <v>2850221.76872391</v>
      </c>
      <c r="Z52" t="n">
        <v>2784419.93878596</v>
      </c>
      <c r="AA52" t="n">
        <v>5305082.65030982</v>
      </c>
      <c r="AB52" t="n">
        <v>52185833.1123279</v>
      </c>
      <c r="AC52" t="n">
        <v>47736605.209308</v>
      </c>
      <c r="AD52" t="n">
        <v>16787116.2989214</v>
      </c>
      <c r="AE52" t="n">
        <v>16059881.2354818</v>
      </c>
      <c r="AF52" t="n">
        <v>87897244.357943</v>
      </c>
      <c r="AG52" t="n">
        <v>11603721.4500718</v>
      </c>
      <c r="AH52" t="n">
        <v>0</v>
      </c>
      <c r="AI52" t="n">
        <v>0</v>
      </c>
      <c r="AJ52" t="n">
        <v>2120303.33357688</v>
      </c>
      <c r="AK52" t="n">
        <v>2600139.41920414</v>
      </c>
      <c r="AL52" t="n">
        <v>416885.544064294</v>
      </c>
      <c r="AM52" t="n">
        <v>6744206.12075307</v>
      </c>
      <c r="AN52" t="n">
        <v>1327715.86465727</v>
      </c>
      <c r="AO52" t="n">
        <v>38996983.8326199</v>
      </c>
      <c r="AP52" t="n">
        <v>471867.068057407</v>
      </c>
      <c r="AQ52" t="n">
        <v>24698070.5283419</v>
      </c>
      <c r="AR52" t="n">
        <v>77447034.7137898</v>
      </c>
      <c r="AS52" t="n">
        <v>227569909.223311</v>
      </c>
      <c r="AT52" t="n">
        <v>37685493.1930645</v>
      </c>
      <c r="AU52" t="n">
        <v>34465361.1395223</v>
      </c>
      <c r="AV52" t="n">
        <v>64221921.414155</v>
      </c>
      <c r="AW52" t="n">
        <v>12295.2040028911</v>
      </c>
      <c r="AX52" t="n">
        <v>8574859.67712422</v>
      </c>
      <c r="AY52" t="n">
        <v>4326462.83971201</v>
      </c>
      <c r="AZ52" t="n">
        <v>36272362.3391074</v>
      </c>
      <c r="BA52" t="n">
        <v>40783412.9295744</v>
      </c>
      <c r="BB52" t="n">
        <v>167845655.561152</v>
      </c>
      <c r="BC52" t="n">
        <v>34265886.4102185</v>
      </c>
      <c r="BD52" t="n">
        <v>292539191.901929</v>
      </c>
      <c r="BE52" t="n">
        <v>16085006.7253069</v>
      </c>
      <c r="BF52" t="n">
        <v>42171954.8517589</v>
      </c>
      <c r="BG52" t="n">
        <v>25582713.0054266</v>
      </c>
      <c r="BH52" t="n">
        <v>47446132.3673094</v>
      </c>
      <c r="BI52" t="n">
        <v>6381198.478069</v>
      </c>
      <c r="BJ52" t="n">
        <v>12468992.2520101</v>
      </c>
      <c r="BK52" t="n">
        <v>9421983.68161028</v>
      </c>
      <c r="BL52" t="n">
        <v>12926056.5049774</v>
      </c>
      <c r="BM52" t="n">
        <v>7136880.31508942</v>
      </c>
      <c r="BN52" t="n">
        <v>96854973.4050639</v>
      </c>
      <c r="BO52" t="n">
        <v>79086678.1068643</v>
      </c>
      <c r="BP52" t="n">
        <v>4663371.33210022</v>
      </c>
      <c r="BQ52" t="n">
        <v>23918475.3592808</v>
      </c>
      <c r="BR52" t="n">
        <v>2797250.33372049</v>
      </c>
      <c r="BS52" t="n">
        <v>368084223.387717</v>
      </c>
      <c r="BT52" t="n">
        <v>18803703.7859077</v>
      </c>
      <c r="BU52" t="n">
        <v>788096179.957032</v>
      </c>
      <c r="BV52" t="n">
        <v>0</v>
      </c>
      <c r="BW52" t="n">
        <v>0</v>
      </c>
      <c r="BX52" t="n">
        <v>245120880.335648</v>
      </c>
      <c r="BY52" t="n">
        <v>0</v>
      </c>
      <c r="BZ52" t="n">
        <v>0</v>
      </c>
      <c r="CA52" t="n">
        <v>65111660.0560457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65779375.2982917</v>
      </c>
    </row>
    <row r="53">
      <c r="A53" t="s">
        <v>164</v>
      </c>
      <c r="B53" t="n">
        <v>20929992.7720037</v>
      </c>
      <c r="C53" t="n">
        <v>799489.381857995</v>
      </c>
      <c r="D53" t="n">
        <v>70075.8950456765</v>
      </c>
      <c r="E53" t="n">
        <v>5540095.85067813</v>
      </c>
      <c r="F53" t="n">
        <v>25922.341380113</v>
      </c>
      <c r="G53" t="n">
        <v>22219576.7848457</v>
      </c>
      <c r="H53" t="n">
        <v>31470386.631286</v>
      </c>
      <c r="I53" t="n">
        <v>5080361.62447602</v>
      </c>
      <c r="J53" t="n">
        <v>4352532.5026535</v>
      </c>
      <c r="K53" t="n">
        <v>2935688.85271995</v>
      </c>
      <c r="L53" t="n">
        <v>11913917.4361618</v>
      </c>
      <c r="M53" t="n">
        <v>14039818.6880942</v>
      </c>
      <c r="N53" t="n">
        <v>20557563.2432384</v>
      </c>
      <c r="O53" t="n">
        <v>4870192.55082183</v>
      </c>
      <c r="P53" t="n">
        <v>4163050.23509289</v>
      </c>
      <c r="Q53" t="n">
        <v>1244508.85648569</v>
      </c>
      <c r="R53" t="n">
        <v>2999830.10470478</v>
      </c>
      <c r="S53" t="n">
        <v>17909510.6463094</v>
      </c>
      <c r="T53" t="n">
        <v>19023226.9229497</v>
      </c>
      <c r="U53" t="n">
        <v>664295.283852016</v>
      </c>
      <c r="V53" t="n">
        <v>1237404.01053971</v>
      </c>
      <c r="W53" t="n">
        <v>5657818.23148572</v>
      </c>
      <c r="X53" t="n">
        <v>7394442.3858342</v>
      </c>
      <c r="Y53" t="n">
        <v>5743116.23762222</v>
      </c>
      <c r="Z53" t="n">
        <v>7646768.32339707</v>
      </c>
      <c r="AA53" t="n">
        <v>7779811.68075493</v>
      </c>
      <c r="AB53" t="n">
        <v>168161769.226647</v>
      </c>
      <c r="AC53" t="n">
        <v>15605913.9175286</v>
      </c>
      <c r="AD53" t="n">
        <v>9731183.27944783</v>
      </c>
      <c r="AE53" t="n">
        <v>12128142.7029247</v>
      </c>
      <c r="AF53" t="n">
        <v>34950286.2651625</v>
      </c>
      <c r="AG53" t="n">
        <v>8263072.05157637</v>
      </c>
      <c r="AH53" t="n">
        <v>36524985.5324223</v>
      </c>
      <c r="AI53" t="n">
        <v>2719177.8249119</v>
      </c>
      <c r="AJ53" t="n">
        <v>8222852.09853188</v>
      </c>
      <c r="AK53" t="n">
        <v>18738070.4579905</v>
      </c>
      <c r="AL53" t="n">
        <v>5323512.74537894</v>
      </c>
      <c r="AM53" t="n">
        <v>5611330.73679887</v>
      </c>
      <c r="AN53" t="n">
        <v>758620.960243247</v>
      </c>
      <c r="AO53" t="n">
        <v>17516242.7955053</v>
      </c>
      <c r="AP53" t="n">
        <v>1005253.41886758</v>
      </c>
      <c r="AQ53" t="n">
        <v>38788508.3422988</v>
      </c>
      <c r="AR53" t="n">
        <v>6060396.93457425</v>
      </c>
      <c r="AS53" t="n">
        <v>364436506.6092</v>
      </c>
      <c r="AT53" t="n">
        <v>170127977.114037</v>
      </c>
      <c r="AU53" t="n">
        <v>3026421.19865338</v>
      </c>
      <c r="AV53" t="n">
        <v>23255235.3180794</v>
      </c>
      <c r="AW53" t="n">
        <v>541367591.087114</v>
      </c>
      <c r="AX53" t="n">
        <v>116146408.744308</v>
      </c>
      <c r="AY53" t="n">
        <v>16585355.6959762</v>
      </c>
      <c r="AZ53" t="n">
        <v>6410367.88638048</v>
      </c>
      <c r="BA53" t="n">
        <v>11553027.5261467</v>
      </c>
      <c r="BB53" t="n">
        <v>49579301.1067383</v>
      </c>
      <c r="BC53" t="n">
        <v>216706271.612309</v>
      </c>
      <c r="BD53" t="n">
        <v>21918526.8567732</v>
      </c>
      <c r="BE53" t="n">
        <v>3485417.02862884</v>
      </c>
      <c r="BF53" t="n">
        <v>6370702.46791072</v>
      </c>
      <c r="BG53" t="n">
        <v>26446642.0550913</v>
      </c>
      <c r="BH53" t="n">
        <v>31437813.2487216</v>
      </c>
      <c r="BI53" t="n">
        <v>7427534.8495129</v>
      </c>
      <c r="BJ53" t="n">
        <v>5863420.52963772</v>
      </c>
      <c r="BK53" t="n">
        <v>3045934.95180782</v>
      </c>
      <c r="BL53" t="n">
        <v>6346376.53735748</v>
      </c>
      <c r="BM53" t="n">
        <v>14526238.7699732</v>
      </c>
      <c r="BN53" t="n">
        <v>25503121.7365799</v>
      </c>
      <c r="BO53" t="n">
        <v>39941464.4417386</v>
      </c>
      <c r="BP53" t="n">
        <v>0</v>
      </c>
      <c r="BQ53" t="n">
        <v>9436296.64172471</v>
      </c>
      <c r="BR53" t="n">
        <v>2642767.53750065</v>
      </c>
      <c r="BS53" t="n">
        <v>88427633.676043</v>
      </c>
      <c r="BT53" t="n">
        <v>8382292.84705858</v>
      </c>
      <c r="BU53" t="n">
        <v>1194065472.73178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1347651818.31148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5149008.40632703</v>
      </c>
      <c r="C54" t="n">
        <v>45154.4456367089</v>
      </c>
      <c r="D54" t="n">
        <v>205173.154595668</v>
      </c>
      <c r="E54" t="n">
        <v>39504849.327571</v>
      </c>
      <c r="F54" t="n">
        <v>873882.956193489</v>
      </c>
      <c r="G54" t="n">
        <v>6736846.48613741</v>
      </c>
      <c r="H54" t="n">
        <v>15171379.6506589</v>
      </c>
      <c r="I54" t="n">
        <v>575161.063366208</v>
      </c>
      <c r="J54" t="n">
        <v>794606.549015195</v>
      </c>
      <c r="K54" t="n">
        <v>11523056.7757411</v>
      </c>
      <c r="L54" t="n">
        <v>37260416.3710035</v>
      </c>
      <c r="M54" t="n">
        <v>32643649.7217852</v>
      </c>
      <c r="N54" t="n">
        <v>2841907.17664688</v>
      </c>
      <c r="O54" t="n">
        <v>4302794.26262053</v>
      </c>
      <c r="P54" t="n">
        <v>6714082.87072479</v>
      </c>
      <c r="Q54" t="n">
        <v>2273448.6421768</v>
      </c>
      <c r="R54" t="n">
        <v>9918675.39958829</v>
      </c>
      <c r="S54" t="n">
        <v>28681391.1029135</v>
      </c>
      <c r="T54" t="n">
        <v>1479310.72596012</v>
      </c>
      <c r="U54" t="n">
        <v>32817.4303763566</v>
      </c>
      <c r="V54" t="n">
        <v>9621.01321789075</v>
      </c>
      <c r="W54" t="n">
        <v>328684.027392338</v>
      </c>
      <c r="X54" t="n">
        <v>929230.078999244</v>
      </c>
      <c r="Y54" t="n">
        <v>450484.999062252</v>
      </c>
      <c r="Z54" t="n">
        <v>129364.930325214</v>
      </c>
      <c r="AA54" t="n">
        <v>971670.494877186</v>
      </c>
      <c r="AB54" t="n">
        <v>40309286.3485434</v>
      </c>
      <c r="AC54" t="n">
        <v>970213.586973662</v>
      </c>
      <c r="AD54" t="n">
        <v>2980561.2001976</v>
      </c>
      <c r="AE54" t="n">
        <v>8196815.14288913</v>
      </c>
      <c r="AF54" t="n">
        <v>6002819.67477323</v>
      </c>
      <c r="AG54" t="n">
        <v>34161258.8815341</v>
      </c>
      <c r="AH54" t="n">
        <v>7449560.46905019</v>
      </c>
      <c r="AI54" t="n">
        <v>10349551.9371397</v>
      </c>
      <c r="AJ54" t="n">
        <v>5218340.23827684</v>
      </c>
      <c r="AK54" t="n">
        <v>27017771.9246027</v>
      </c>
      <c r="AL54" t="n">
        <v>891517.556200966</v>
      </c>
      <c r="AM54" t="n">
        <v>13037391.0593277</v>
      </c>
      <c r="AN54" t="n">
        <v>159321.054342758</v>
      </c>
      <c r="AO54" t="n">
        <v>3255826.4887354</v>
      </c>
      <c r="AP54" t="n">
        <v>1485778.18075323</v>
      </c>
      <c r="AQ54" t="n">
        <v>1211708.16027818</v>
      </c>
      <c r="AR54" t="n">
        <v>658355.730032846</v>
      </c>
      <c r="AS54" t="n">
        <v>630921806.619916</v>
      </c>
      <c r="AT54" t="n">
        <v>355694346.930695</v>
      </c>
      <c r="AU54" t="n">
        <v>40176612.1335415</v>
      </c>
      <c r="AV54" t="n">
        <v>2212390739.95847</v>
      </c>
      <c r="AW54" t="n">
        <v>28609.5343233003</v>
      </c>
      <c r="AX54" t="n">
        <v>45544537.1412818</v>
      </c>
      <c r="AY54" t="n">
        <v>9809258.23174541</v>
      </c>
      <c r="AZ54" t="n">
        <v>4517326.01733184</v>
      </c>
      <c r="BA54" t="n">
        <v>5210439.91978972</v>
      </c>
      <c r="BB54" t="n">
        <v>24630935.0718217</v>
      </c>
      <c r="BC54" t="n">
        <v>211801012.264002</v>
      </c>
      <c r="BD54" t="n">
        <v>11113137.0466504</v>
      </c>
      <c r="BE54" t="n">
        <v>390779.290739644</v>
      </c>
      <c r="BF54" t="n">
        <v>10436761.0207143</v>
      </c>
      <c r="BG54" t="n">
        <v>19035637.6716104</v>
      </c>
      <c r="BH54" t="n">
        <v>157491806.625092</v>
      </c>
      <c r="BI54" t="n">
        <v>6687879.42697896</v>
      </c>
      <c r="BJ54" t="n">
        <v>36202924.2657349</v>
      </c>
      <c r="BK54" t="n">
        <v>8265173.54853374</v>
      </c>
      <c r="BL54" t="n">
        <v>778571.748973713</v>
      </c>
      <c r="BM54" t="n">
        <v>36752292.0856759</v>
      </c>
      <c r="BN54" t="n">
        <v>51225017.8733987</v>
      </c>
      <c r="BO54" t="n">
        <v>39400305.068984</v>
      </c>
      <c r="BP54" t="n">
        <v>0</v>
      </c>
      <c r="BQ54" t="n">
        <v>24757.8105795394</v>
      </c>
      <c r="BR54" t="n">
        <v>96385.8801591056</v>
      </c>
      <c r="BS54" t="n">
        <v>278162507.954053</v>
      </c>
      <c r="BT54" t="n">
        <v>19035002.9890196</v>
      </c>
      <c r="BU54" t="n">
        <v>3097932367.38208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1048188474.22909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19442338.8822986</v>
      </c>
      <c r="C55" t="n">
        <v>651875.11484936</v>
      </c>
      <c r="D55" t="n">
        <v>90795.5548939046</v>
      </c>
      <c r="E55" t="n">
        <v>5817095.66076791</v>
      </c>
      <c r="F55" t="n">
        <v>145567.770877701</v>
      </c>
      <c r="G55" t="n">
        <v>6668509.65180871</v>
      </c>
      <c r="H55" t="n">
        <v>1604128.33353522</v>
      </c>
      <c r="I55" t="n">
        <v>1651528.77680461</v>
      </c>
      <c r="J55" t="n">
        <v>4687733.12289307</v>
      </c>
      <c r="K55" t="n">
        <v>1840649.42210823</v>
      </c>
      <c r="L55" t="n">
        <v>6217658.34474339</v>
      </c>
      <c r="M55" t="n">
        <v>9918940.0548225</v>
      </c>
      <c r="N55" t="n">
        <v>1989139.6635877</v>
      </c>
      <c r="O55" t="n">
        <v>3695184.23178541</v>
      </c>
      <c r="P55" t="n">
        <v>4519695.91902927</v>
      </c>
      <c r="Q55" t="n">
        <v>1741048.10325907</v>
      </c>
      <c r="R55" t="n">
        <v>2647657.51182621</v>
      </c>
      <c r="S55" t="n">
        <v>7270052.46950391</v>
      </c>
      <c r="T55" t="n">
        <v>19431675.9481427</v>
      </c>
      <c r="U55" t="n">
        <v>496952.440137629</v>
      </c>
      <c r="V55" t="n">
        <v>191139.066182736</v>
      </c>
      <c r="W55" t="n">
        <v>2167472.1444</v>
      </c>
      <c r="X55" t="n">
        <v>902530.890116421</v>
      </c>
      <c r="Y55" t="n">
        <v>1610947.87191385</v>
      </c>
      <c r="Z55" t="n">
        <v>4220628.54821816</v>
      </c>
      <c r="AA55" t="n">
        <v>3182896.87501193</v>
      </c>
      <c r="AB55" t="n">
        <v>181275267.957899</v>
      </c>
      <c r="AC55" t="n">
        <v>12044569.1557096</v>
      </c>
      <c r="AD55" t="n">
        <v>5226849.87438759</v>
      </c>
      <c r="AE55" t="n">
        <v>6400703.77606399</v>
      </c>
      <c r="AF55" t="n">
        <v>24938647.0818844</v>
      </c>
      <c r="AG55" t="n">
        <v>4420095.21506283</v>
      </c>
      <c r="AH55" t="n">
        <v>236412.702175847</v>
      </c>
      <c r="AI55" t="n">
        <v>2747059.53992387</v>
      </c>
      <c r="AJ55" t="n">
        <v>51281235.9561772</v>
      </c>
      <c r="AK55" t="n">
        <v>33896658.0354482</v>
      </c>
      <c r="AL55" t="n">
        <v>763527.292812354</v>
      </c>
      <c r="AM55" t="n">
        <v>10310383.4572843</v>
      </c>
      <c r="AN55" t="n">
        <v>5157907.7042653</v>
      </c>
      <c r="AO55" t="n">
        <v>1684549.08862434</v>
      </c>
      <c r="AP55" t="n">
        <v>1428855.06537915</v>
      </c>
      <c r="AQ55" t="n">
        <v>4212491.51306044</v>
      </c>
      <c r="AR55" t="n">
        <v>1919713.53068386</v>
      </c>
      <c r="AS55" t="n">
        <v>20339240.0860312</v>
      </c>
      <c r="AT55" t="n">
        <v>32220480.4604834</v>
      </c>
      <c r="AU55" t="n">
        <v>1301352383.88273</v>
      </c>
      <c r="AV55" t="n">
        <v>96831240.7808173</v>
      </c>
      <c r="AW55" t="n">
        <v>22545773.7324681</v>
      </c>
      <c r="AX55" t="n">
        <v>97554561.6599411</v>
      </c>
      <c r="AY55" t="n">
        <v>11794149.934995</v>
      </c>
      <c r="AZ55" t="n">
        <v>8482388.2908797</v>
      </c>
      <c r="BA55" t="n">
        <v>7789075.10826021</v>
      </c>
      <c r="BB55" t="n">
        <v>39946132.1838302</v>
      </c>
      <c r="BC55" t="n">
        <v>2482083.40626531</v>
      </c>
      <c r="BD55" t="n">
        <v>23291078.4241429</v>
      </c>
      <c r="BE55" t="n">
        <v>4612122.02092215</v>
      </c>
      <c r="BF55" t="n">
        <v>6777741.84048672</v>
      </c>
      <c r="BG55" t="n">
        <v>50512040.0618732</v>
      </c>
      <c r="BH55" t="n">
        <v>67169338.5121017</v>
      </c>
      <c r="BI55" t="n">
        <v>18983319.8329572</v>
      </c>
      <c r="BJ55" t="n">
        <v>49921783.4139115</v>
      </c>
      <c r="BK55" t="n">
        <v>6855803.19402122</v>
      </c>
      <c r="BL55" t="n">
        <v>4887267.90919349</v>
      </c>
      <c r="BM55" t="n">
        <v>3538653.60065375</v>
      </c>
      <c r="BN55" t="n">
        <v>22199176.8750183</v>
      </c>
      <c r="BO55" t="n">
        <v>11764084.8969902</v>
      </c>
      <c r="BP55" t="n">
        <v>0</v>
      </c>
      <c r="BQ55" t="n">
        <v>1601821.77625607</v>
      </c>
      <c r="BR55" t="n">
        <v>6181690.35912885</v>
      </c>
      <c r="BS55" t="n">
        <v>13120068.624199</v>
      </c>
      <c r="BT55" t="n">
        <v>24102197.6600233</v>
      </c>
      <c r="BU55" t="n">
        <v>1472239218.19304</v>
      </c>
      <c r="BV55" t="n">
        <v>0</v>
      </c>
      <c r="BW55" t="n">
        <v>0</v>
      </c>
      <c r="BX55" t="n">
        <v>0</v>
      </c>
      <c r="BY55" t="n">
        <v>18899558.1122385</v>
      </c>
      <c r="BZ55" t="n">
        <v>0</v>
      </c>
      <c r="CA55" t="n">
        <v>450332663.255803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70614511.9069216</v>
      </c>
      <c r="AV56" t="n">
        <v>268859312.063671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2417269.08734042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471470.946132916</v>
      </c>
      <c r="BR56" t="n">
        <v>0</v>
      </c>
      <c r="BS56" t="n">
        <v>17031477.6693918</v>
      </c>
      <c r="BT56" t="n">
        <v>0</v>
      </c>
      <c r="BU56" t="n">
        <v>2672075826.64748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38852381257.4073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99906425.8259612</v>
      </c>
      <c r="C58" t="n">
        <v>147897.078451377</v>
      </c>
      <c r="D58" t="n">
        <v>280468.072158318</v>
      </c>
      <c r="E58" t="n">
        <v>7500847.78204153</v>
      </c>
      <c r="F58" t="n">
        <v>185686.82407878</v>
      </c>
      <c r="G58" t="n">
        <v>145626256.650021</v>
      </c>
      <c r="H58" t="n">
        <v>315380301.565965</v>
      </c>
      <c r="I58" t="n">
        <v>25492969.259387</v>
      </c>
      <c r="J58" t="n">
        <v>22354730.9315094</v>
      </c>
      <c r="K58" t="n">
        <v>5609869.2224168</v>
      </c>
      <c r="L58" t="n">
        <v>148577968.11811</v>
      </c>
      <c r="M58" t="n">
        <v>62968920.9174603</v>
      </c>
      <c r="N58" t="n">
        <v>97995542.5275205</v>
      </c>
      <c r="O58" t="n">
        <v>14272732.7212249</v>
      </c>
      <c r="P58" t="n">
        <v>10571861.7663076</v>
      </c>
      <c r="Q58" t="n">
        <v>8767915.0964926</v>
      </c>
      <c r="R58" t="n">
        <v>34966956.2839142</v>
      </c>
      <c r="S58" t="n">
        <v>97596253.9052988</v>
      </c>
      <c r="T58" t="n">
        <v>109556871.847397</v>
      </c>
      <c r="U58" t="n">
        <v>4522802.534141</v>
      </c>
      <c r="V58" t="n">
        <v>2196163.84185296</v>
      </c>
      <c r="W58" t="n">
        <v>40455939.4731925</v>
      </c>
      <c r="X58" t="n">
        <v>106875896.130712</v>
      </c>
      <c r="Y58" t="n">
        <v>3291501.51719437</v>
      </c>
      <c r="Z58" t="n">
        <v>37124106.5934326</v>
      </c>
      <c r="AA58" t="n">
        <v>58258633.7426271</v>
      </c>
      <c r="AB58" t="n">
        <v>1987369113.31965</v>
      </c>
      <c r="AC58" t="n">
        <v>353361716.329628</v>
      </c>
      <c r="AD58" t="n">
        <v>501048419.524569</v>
      </c>
      <c r="AE58" t="n">
        <v>390902514.584772</v>
      </c>
      <c r="AF58" t="n">
        <v>1671598807.3473</v>
      </c>
      <c r="AG58" t="n">
        <v>9782136.79487239</v>
      </c>
      <c r="AH58" t="n">
        <v>5947412.63586368</v>
      </c>
      <c r="AI58" t="n">
        <v>16438043.688382</v>
      </c>
      <c r="AJ58" t="n">
        <v>156357995.542164</v>
      </c>
      <c r="AK58" t="n">
        <v>51347719.7438163</v>
      </c>
      <c r="AL58" t="n">
        <v>3505446.04076178</v>
      </c>
      <c r="AM58" t="n">
        <v>97439120.0794373</v>
      </c>
      <c r="AN58" t="n">
        <v>97993068.0114488</v>
      </c>
      <c r="AO58" t="n">
        <v>138679274.552566</v>
      </c>
      <c r="AP58" t="n">
        <v>13712960.6414818</v>
      </c>
      <c r="AQ58" t="n">
        <v>303216370.030843</v>
      </c>
      <c r="AR58" t="n">
        <v>99468215.1653356</v>
      </c>
      <c r="AS58" t="n">
        <v>509034740.686593</v>
      </c>
      <c r="AT58" t="n">
        <v>414087544.35007</v>
      </c>
      <c r="AU58" t="n">
        <v>522639059.735792</v>
      </c>
      <c r="AV58" t="n">
        <v>28814017.0940171</v>
      </c>
      <c r="AW58" t="n">
        <v>110869244.722153</v>
      </c>
      <c r="AX58" t="n">
        <v>1986636207.67892</v>
      </c>
      <c r="AY58" t="n">
        <v>68447193.9902784</v>
      </c>
      <c r="AZ58" t="n">
        <v>303130577.202119</v>
      </c>
      <c r="BA58" t="n">
        <v>142312284.28397</v>
      </c>
      <c r="BB58" t="n">
        <v>1015309938.18161</v>
      </c>
      <c r="BC58" t="n">
        <v>1458695507.93674</v>
      </c>
      <c r="BD58" t="n">
        <v>589414651.288344</v>
      </c>
      <c r="BE58" t="n">
        <v>52838671.4744264</v>
      </c>
      <c r="BF58" t="n">
        <v>526503810.506921</v>
      </c>
      <c r="BG58" t="n">
        <v>1136256971.41741</v>
      </c>
      <c r="BH58" t="n">
        <v>1749116945.2847</v>
      </c>
      <c r="BI58" t="n">
        <v>878991185.816604</v>
      </c>
      <c r="BJ58" t="n">
        <v>310361632.08626</v>
      </c>
      <c r="BK58" t="n">
        <v>210834288.195062</v>
      </c>
      <c r="BL58" t="n">
        <v>309047704.617678</v>
      </c>
      <c r="BM58" t="n">
        <v>34889142.5169736</v>
      </c>
      <c r="BN58" t="n">
        <v>862236922.408412</v>
      </c>
      <c r="BO58" t="n">
        <v>1131009937.97398</v>
      </c>
      <c r="BP58" t="n">
        <v>1313205.42338194</v>
      </c>
      <c r="BQ58" t="n">
        <v>118408089.085626</v>
      </c>
      <c r="BR58" t="n">
        <v>5374016.74502722</v>
      </c>
      <c r="BS58" t="n">
        <v>442891178.761916</v>
      </c>
      <c r="BT58" t="n">
        <v>26510581.4401043</v>
      </c>
      <c r="BU58" t="n">
        <v>112855299.907619</v>
      </c>
      <c r="BV58" t="n">
        <v>366512519.536919</v>
      </c>
      <c r="BW58" t="n">
        <v>0</v>
      </c>
      <c r="BX58" t="n">
        <v>0</v>
      </c>
      <c r="BY58" t="n">
        <v>2395403886.72018</v>
      </c>
      <c r="BZ58" t="n">
        <v>0</v>
      </c>
      <c r="CA58" t="n">
        <v>32614255.7508119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21230443.5715841</v>
      </c>
      <c r="C59" t="n">
        <v>201285.777852892</v>
      </c>
      <c r="D59" t="n">
        <v>210662.35037239</v>
      </c>
      <c r="E59" t="n">
        <v>31737724.4380321</v>
      </c>
      <c r="F59" t="n">
        <v>326629.499229647</v>
      </c>
      <c r="G59" t="n">
        <v>12992130.2882464</v>
      </c>
      <c r="H59" t="n">
        <v>161678083.751709</v>
      </c>
      <c r="I59" t="n">
        <v>2725065.52174239</v>
      </c>
      <c r="J59" t="n">
        <v>4714980.51093399</v>
      </c>
      <c r="K59" t="n">
        <v>2394919.79184288</v>
      </c>
      <c r="L59" t="n">
        <v>16347097.9760404</v>
      </c>
      <c r="M59" t="n">
        <v>13788425.624595</v>
      </c>
      <c r="N59" t="n">
        <v>5399600.42309876</v>
      </c>
      <c r="O59" t="n">
        <v>2473936.40496882</v>
      </c>
      <c r="P59" t="n">
        <v>10115587.3712333</v>
      </c>
      <c r="Q59" t="n">
        <v>1866488.26738698</v>
      </c>
      <c r="R59" t="n">
        <v>2213171.5702583</v>
      </c>
      <c r="S59" t="n">
        <v>13004115.7033731</v>
      </c>
      <c r="T59" t="n">
        <v>22265835.3514324</v>
      </c>
      <c r="U59" t="n">
        <v>198537.57513886</v>
      </c>
      <c r="V59" t="n">
        <v>8059835.89265252</v>
      </c>
      <c r="W59" t="n">
        <v>7014690.07881552</v>
      </c>
      <c r="X59" t="n">
        <v>7933139.81970603</v>
      </c>
      <c r="Y59" t="n">
        <v>6777455.68170281</v>
      </c>
      <c r="Z59" t="n">
        <v>9213885.57286745</v>
      </c>
      <c r="AA59" t="n">
        <v>5987312.67964194</v>
      </c>
      <c r="AB59" t="n">
        <v>161857227.05594</v>
      </c>
      <c r="AC59" t="n">
        <v>4486935.2370545</v>
      </c>
      <c r="AD59" t="n">
        <v>6150712.8635713</v>
      </c>
      <c r="AE59" t="n">
        <v>18915231.5734599</v>
      </c>
      <c r="AF59" t="n">
        <v>29331845.232281</v>
      </c>
      <c r="AG59" t="n">
        <v>108806315.022632</v>
      </c>
      <c r="AH59" t="n">
        <v>57658805.4074904</v>
      </c>
      <c r="AI59" t="n">
        <v>41978590.3666439</v>
      </c>
      <c r="AJ59" t="n">
        <v>154557769.456655</v>
      </c>
      <c r="AK59" t="n">
        <v>8831276.63449695</v>
      </c>
      <c r="AL59" t="n">
        <v>183116.079744296</v>
      </c>
      <c r="AM59" t="n">
        <v>11066258.1834528</v>
      </c>
      <c r="AN59" t="n">
        <v>15546283.3728085</v>
      </c>
      <c r="AO59" t="n">
        <v>9190302.75493065</v>
      </c>
      <c r="AP59" t="n">
        <v>1479504.13580412</v>
      </c>
      <c r="AQ59" t="n">
        <v>29666055.2061311</v>
      </c>
      <c r="AR59" t="n">
        <v>23580410.1515444</v>
      </c>
      <c r="AS59" t="n">
        <v>24495536.4313145</v>
      </c>
      <c r="AT59" t="n">
        <v>28034270.9933191</v>
      </c>
      <c r="AU59" t="n">
        <v>24868639.5292145</v>
      </c>
      <c r="AV59" t="n">
        <v>335925.783754967</v>
      </c>
      <c r="AW59" t="n">
        <v>33320334.1179632</v>
      </c>
      <c r="AX59" t="n">
        <v>9453534.34271798</v>
      </c>
      <c r="AY59" t="n">
        <v>20018186.5372743</v>
      </c>
      <c r="AZ59" t="n">
        <v>8732867.37684302</v>
      </c>
      <c r="BA59" t="n">
        <v>15130313.1160076</v>
      </c>
      <c r="BB59" t="n">
        <v>83566182.7558188</v>
      </c>
      <c r="BC59" t="n">
        <v>203186898.814725</v>
      </c>
      <c r="BD59" t="n">
        <v>43205195.9715979</v>
      </c>
      <c r="BE59" t="n">
        <v>13059694.1419882</v>
      </c>
      <c r="BF59" t="n">
        <v>7363588.99005665</v>
      </c>
      <c r="BG59" t="n">
        <v>27455015.5580286</v>
      </c>
      <c r="BH59" t="n">
        <v>28138353.006739</v>
      </c>
      <c r="BI59" t="n">
        <v>5011108.96069328</v>
      </c>
      <c r="BJ59" t="n">
        <v>3556736.35646276</v>
      </c>
      <c r="BK59" t="n">
        <v>9336969.748447</v>
      </c>
      <c r="BL59" t="n">
        <v>11801525.5512342</v>
      </c>
      <c r="BM59" t="n">
        <v>7547432.06432718</v>
      </c>
      <c r="BN59" t="n">
        <v>46976985.5016225</v>
      </c>
      <c r="BO59" t="n">
        <v>15533102.833304</v>
      </c>
      <c r="BP59" t="n">
        <v>559897.14427506</v>
      </c>
      <c r="BQ59" t="n">
        <v>943015.272616534</v>
      </c>
      <c r="BR59" t="n">
        <v>547005.463925309</v>
      </c>
      <c r="BS59" t="n">
        <v>52054187.3808375</v>
      </c>
      <c r="BT59" t="n">
        <v>2118510.83541769</v>
      </c>
      <c r="BU59" t="n">
        <v>647139595.852901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743678564.864723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7165824.96699309</v>
      </c>
      <c r="C60" t="n">
        <v>339188.97298175</v>
      </c>
      <c r="D60" t="n">
        <v>90476.0727950009</v>
      </c>
      <c r="E60" t="n">
        <v>12626167.7664679</v>
      </c>
      <c r="F60" t="n">
        <v>55970.9213511466</v>
      </c>
      <c r="G60" t="n">
        <v>76696211.4211131</v>
      </c>
      <c r="H60" t="n">
        <v>76014062.6076649</v>
      </c>
      <c r="I60" t="n">
        <v>9355251.11982179</v>
      </c>
      <c r="J60" t="n">
        <v>6353323.68921986</v>
      </c>
      <c r="K60" t="n">
        <v>3592046.32683442</v>
      </c>
      <c r="L60" t="n">
        <v>34962026.5738357</v>
      </c>
      <c r="M60" t="n">
        <v>29666768.7046826</v>
      </c>
      <c r="N60" t="n">
        <v>62370604.9238925</v>
      </c>
      <c r="O60" t="n">
        <v>3705652.09932764</v>
      </c>
      <c r="P60" t="n">
        <v>9149935.0328882</v>
      </c>
      <c r="Q60" t="n">
        <v>5357672.52058281</v>
      </c>
      <c r="R60" t="n">
        <v>5312312.73241511</v>
      </c>
      <c r="S60" t="n">
        <v>59527947.9993385</v>
      </c>
      <c r="T60" t="n">
        <v>17987248.1552389</v>
      </c>
      <c r="U60" t="n">
        <v>788852.41784173</v>
      </c>
      <c r="V60" t="n">
        <v>732342.688969727</v>
      </c>
      <c r="W60" t="n">
        <v>12890740.9536041</v>
      </c>
      <c r="X60" t="n">
        <v>12176475.8705824</v>
      </c>
      <c r="Y60" t="n">
        <v>9048883.0911072</v>
      </c>
      <c r="Z60" t="n">
        <v>22382807.6073527</v>
      </c>
      <c r="AA60" t="n">
        <v>14543066.7461482</v>
      </c>
      <c r="AB60" t="n">
        <v>257883130.142223</v>
      </c>
      <c r="AC60" t="n">
        <v>7442058.68435281</v>
      </c>
      <c r="AD60" t="n">
        <v>8766755.28849951</v>
      </c>
      <c r="AE60" t="n">
        <v>9520923.30267192</v>
      </c>
      <c r="AF60" t="n">
        <v>48426675.9533048</v>
      </c>
      <c r="AG60" t="n">
        <v>7797023.08411445</v>
      </c>
      <c r="AH60" t="n">
        <v>19665547.8345943</v>
      </c>
      <c r="AI60" t="n">
        <v>2741099.81112181</v>
      </c>
      <c r="AJ60" t="n">
        <v>3217362.20030834</v>
      </c>
      <c r="AK60" t="n">
        <v>3183541.76827191</v>
      </c>
      <c r="AL60" t="n">
        <v>504288.466512414</v>
      </c>
      <c r="AM60" t="n">
        <v>6016753.70642463</v>
      </c>
      <c r="AN60" t="n">
        <v>2386622.46943562</v>
      </c>
      <c r="AO60" t="n">
        <v>50591302.552032</v>
      </c>
      <c r="AP60" t="n">
        <v>2697777.4155634</v>
      </c>
      <c r="AQ60" t="n">
        <v>24792251.9559363</v>
      </c>
      <c r="AR60" t="n">
        <v>34150986.1226407</v>
      </c>
      <c r="AS60" t="n">
        <v>71961277.8898578</v>
      </c>
      <c r="AT60" t="n">
        <v>108450063.196794</v>
      </c>
      <c r="AU60" t="n">
        <v>206519267.986353</v>
      </c>
      <c r="AV60" t="n">
        <v>56966170.9504079</v>
      </c>
      <c r="AW60" t="n">
        <v>21290190.5946288</v>
      </c>
      <c r="AX60" t="n">
        <v>85663691.554233</v>
      </c>
      <c r="AY60" t="n">
        <v>3883028.8074012</v>
      </c>
      <c r="AZ60" t="n">
        <v>25657875.7325855</v>
      </c>
      <c r="BA60" t="n">
        <v>44817969.6416354</v>
      </c>
      <c r="BB60" t="n">
        <v>164622914.192149</v>
      </c>
      <c r="BC60" t="n">
        <v>276644719.036566</v>
      </c>
      <c r="BD60" t="n">
        <v>81991007.1915745</v>
      </c>
      <c r="BE60" t="n">
        <v>5425122.2857814</v>
      </c>
      <c r="BF60" t="n">
        <v>4324058.5341651</v>
      </c>
      <c r="BG60" t="n">
        <v>69713093.740946</v>
      </c>
      <c r="BH60" t="n">
        <v>265917896.761611</v>
      </c>
      <c r="BI60" t="n">
        <v>33307433.5494094</v>
      </c>
      <c r="BJ60" t="n">
        <v>13335026.8326849</v>
      </c>
      <c r="BK60" t="n">
        <v>21303724.2798658</v>
      </c>
      <c r="BL60" t="n">
        <v>20674739.4873167</v>
      </c>
      <c r="BM60" t="n">
        <v>9889106.4048533</v>
      </c>
      <c r="BN60" t="n">
        <v>22772861.042219</v>
      </c>
      <c r="BO60" t="n">
        <v>55227917.8526596</v>
      </c>
      <c r="BP60" t="n">
        <v>0</v>
      </c>
      <c r="BQ60" t="n">
        <v>750097.229826819</v>
      </c>
      <c r="BR60" t="n">
        <v>482684.517402657</v>
      </c>
      <c r="BS60" t="n">
        <v>172440940.274962</v>
      </c>
      <c r="BT60" t="n">
        <v>9605966.67878665</v>
      </c>
      <c r="BU60" t="n">
        <v>1417069197.76937</v>
      </c>
      <c r="BV60" t="n">
        <v>0</v>
      </c>
      <c r="BW60" t="n">
        <v>0</v>
      </c>
      <c r="BX60" t="n">
        <v>0</v>
      </c>
      <c r="BY60" t="n">
        <v>300064091.988627</v>
      </c>
      <c r="BZ60" t="n">
        <v>0</v>
      </c>
      <c r="CA60" t="n">
        <v>237062082.355325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9606475.29258319</v>
      </c>
      <c r="C61" t="n">
        <v>128010.376223686</v>
      </c>
      <c r="D61" t="n">
        <v>405346.7287981</v>
      </c>
      <c r="E61" t="n">
        <v>15287653.5189808</v>
      </c>
      <c r="F61" t="n">
        <v>18150.6747076309</v>
      </c>
      <c r="G61" t="n">
        <v>29684486.4241186</v>
      </c>
      <c r="H61" t="n">
        <v>71485456.38521</v>
      </c>
      <c r="I61" t="n">
        <v>7714831.14820842</v>
      </c>
      <c r="J61" t="n">
        <v>5825296.03125491</v>
      </c>
      <c r="K61" t="n">
        <v>2995729.24283776</v>
      </c>
      <c r="L61" t="n">
        <v>34708981.3941027</v>
      </c>
      <c r="M61" t="n">
        <v>45975379.0244772</v>
      </c>
      <c r="N61" t="n">
        <v>10711397.2348814</v>
      </c>
      <c r="O61" t="n">
        <v>1798094.70513102</v>
      </c>
      <c r="P61" t="n">
        <v>2971193.45548925</v>
      </c>
      <c r="Q61" t="n">
        <v>11108924.952659</v>
      </c>
      <c r="R61" t="n">
        <v>5187960.42932631</v>
      </c>
      <c r="S61" t="n">
        <v>20493166.2310282</v>
      </c>
      <c r="T61" t="n">
        <v>20980022.072004</v>
      </c>
      <c r="U61" t="n">
        <v>591440.69386153</v>
      </c>
      <c r="V61" t="n">
        <v>105203.743717313</v>
      </c>
      <c r="W61" t="n">
        <v>6305421.56056015</v>
      </c>
      <c r="X61" t="n">
        <v>17217138.6536958</v>
      </c>
      <c r="Y61" t="n">
        <v>9578251.94174314</v>
      </c>
      <c r="Z61" t="n">
        <v>2337983.3135648</v>
      </c>
      <c r="AA61" t="n">
        <v>8995510.31101411</v>
      </c>
      <c r="AB61" t="n">
        <v>320665655.850845</v>
      </c>
      <c r="AC61" t="n">
        <v>53246657.6401672</v>
      </c>
      <c r="AD61" t="n">
        <v>12315516.0162569</v>
      </c>
      <c r="AE61" t="n">
        <v>25709965.85371</v>
      </c>
      <c r="AF61" t="n">
        <v>66786541.0561341</v>
      </c>
      <c r="AG61" t="n">
        <v>9079246.39265367</v>
      </c>
      <c r="AH61" t="n">
        <v>27728494.2519102</v>
      </c>
      <c r="AI61" t="n">
        <v>1006466.58513383</v>
      </c>
      <c r="AJ61" t="n">
        <v>10901782.8134929</v>
      </c>
      <c r="AK61" t="n">
        <v>4873955.58045952</v>
      </c>
      <c r="AL61" t="n">
        <v>106633.598608171</v>
      </c>
      <c r="AM61" t="n">
        <v>2526901.72311646</v>
      </c>
      <c r="AN61" t="n">
        <v>2592172.66248834</v>
      </c>
      <c r="AO61" t="n">
        <v>94553871.4418993</v>
      </c>
      <c r="AP61" t="n">
        <v>1981162.76547496</v>
      </c>
      <c r="AQ61" t="n">
        <v>32808960.0637595</v>
      </c>
      <c r="AR61" t="n">
        <v>73659969.4877791</v>
      </c>
      <c r="AS61" t="n">
        <v>111401561.749523</v>
      </c>
      <c r="AT61" t="n">
        <v>89336893.8884248</v>
      </c>
      <c r="AU61" t="n">
        <v>120885429.948663</v>
      </c>
      <c r="AV61" t="n">
        <v>37457596.9501934</v>
      </c>
      <c r="AW61" t="n">
        <v>10567013.1131056</v>
      </c>
      <c r="AX61" t="n">
        <v>30746450.9729434</v>
      </c>
      <c r="AY61" t="n">
        <v>3001538.6646115</v>
      </c>
      <c r="AZ61" t="n">
        <v>41947400.3299016</v>
      </c>
      <c r="BA61" t="n">
        <v>83672387.0700033</v>
      </c>
      <c r="BB61" t="n">
        <v>129696941.38382</v>
      </c>
      <c r="BC61" t="n">
        <v>62002611.9534779</v>
      </c>
      <c r="BD61" t="n">
        <v>178776827.155608</v>
      </c>
      <c r="BE61" t="n">
        <v>6699781.29081924</v>
      </c>
      <c r="BF61" t="n">
        <v>18082229.7397894</v>
      </c>
      <c r="BG61" t="n">
        <v>67322658.9343777</v>
      </c>
      <c r="BH61" t="n">
        <v>81831319.6199719</v>
      </c>
      <c r="BI61" t="n">
        <v>23631379.4077353</v>
      </c>
      <c r="BJ61" t="n">
        <v>31138586.7638702</v>
      </c>
      <c r="BK61" t="n">
        <v>5378839.56477175</v>
      </c>
      <c r="BL61" t="n">
        <v>13205909.1887921</v>
      </c>
      <c r="BM61" t="n">
        <v>9325234.91716233</v>
      </c>
      <c r="BN61" t="n">
        <v>57420367.5022443</v>
      </c>
      <c r="BO61" t="n">
        <v>44611118.9152646</v>
      </c>
      <c r="BP61" t="n">
        <v>18026477.5262394</v>
      </c>
      <c r="BQ61" t="n">
        <v>82058670.3870758</v>
      </c>
      <c r="BR61" t="n">
        <v>840411.914418723</v>
      </c>
      <c r="BS61" t="n">
        <v>481902224.699276</v>
      </c>
      <c r="BT61" t="n">
        <v>42140896.608585</v>
      </c>
      <c r="BU61" t="n">
        <v>0</v>
      </c>
      <c r="BV61" t="n">
        <v>0</v>
      </c>
      <c r="BW61" t="n">
        <v>540977790.24043</v>
      </c>
      <c r="BX61" t="n">
        <v>3084250445.60975</v>
      </c>
      <c r="BY61" t="n">
        <v>0</v>
      </c>
      <c r="BZ61" t="n">
        <v>0</v>
      </c>
      <c r="CA61" t="n">
        <v>626391172.832249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14029386.5227248</v>
      </c>
      <c r="CK61" t="n">
        <v>0</v>
      </c>
      <c r="CL61" t="n">
        <v>0</v>
      </c>
      <c r="CM61" t="n">
        <v>19704655.6871102</v>
      </c>
      <c r="CN61" t="n">
        <v>136946574.473562</v>
      </c>
    </row>
    <row r="62">
      <c r="A62" t="s">
        <v>173</v>
      </c>
      <c r="B62" t="n">
        <v>11244877.4109312</v>
      </c>
      <c r="C62" t="n">
        <v>514196.8865474</v>
      </c>
      <c r="D62" t="n">
        <v>88328.8167269074</v>
      </c>
      <c r="E62" t="n">
        <v>11742885.1847297</v>
      </c>
      <c r="F62" t="n">
        <v>79776.7871380627</v>
      </c>
      <c r="G62" t="n">
        <v>49982475.9699102</v>
      </c>
      <c r="H62" t="n">
        <v>170318573.721899</v>
      </c>
      <c r="I62" t="n">
        <v>10466012.3646972</v>
      </c>
      <c r="J62" t="n">
        <v>9524421.09256579</v>
      </c>
      <c r="K62" t="n">
        <v>5825005.33228389</v>
      </c>
      <c r="L62" t="n">
        <v>29118200.7775571</v>
      </c>
      <c r="M62" t="n">
        <v>26921404.992383</v>
      </c>
      <c r="N62" t="n">
        <v>31181153.7477655</v>
      </c>
      <c r="O62" t="n">
        <v>6001730.81238414</v>
      </c>
      <c r="P62" t="n">
        <v>6104935.24773883</v>
      </c>
      <c r="Q62" t="n">
        <v>5021303.81956849</v>
      </c>
      <c r="R62" t="n">
        <v>10125271.7764058</v>
      </c>
      <c r="S62" t="n">
        <v>44070185.0501231</v>
      </c>
      <c r="T62" t="n">
        <v>49507624.830306</v>
      </c>
      <c r="U62" t="n">
        <v>1082797.73059871</v>
      </c>
      <c r="V62" t="n">
        <v>438237.694854922</v>
      </c>
      <c r="W62" t="n">
        <v>12264165.4877325</v>
      </c>
      <c r="X62" t="n">
        <v>16641181.1624754</v>
      </c>
      <c r="Y62" t="n">
        <v>10234232.1151023</v>
      </c>
      <c r="Z62" t="n">
        <v>16121179.3951121</v>
      </c>
      <c r="AA62" t="n">
        <v>16951012.7966816</v>
      </c>
      <c r="AB62" t="n">
        <v>549692448.750203</v>
      </c>
      <c r="AC62" t="n">
        <v>82219821.5234065</v>
      </c>
      <c r="AD62" t="n">
        <v>36746663.9976739</v>
      </c>
      <c r="AE62" t="n">
        <v>21386570.4416687</v>
      </c>
      <c r="AF62" t="n">
        <v>191573919.169075</v>
      </c>
      <c r="AG62" t="n">
        <v>8368165.94220369</v>
      </c>
      <c r="AH62" t="n">
        <v>11902323.3558257</v>
      </c>
      <c r="AI62" t="n">
        <v>7605369.31228515</v>
      </c>
      <c r="AJ62" t="n">
        <v>13566780.4368878</v>
      </c>
      <c r="AK62" t="n">
        <v>6903146.23540841</v>
      </c>
      <c r="AL62" t="n">
        <v>2675953.6057557</v>
      </c>
      <c r="AM62" t="n">
        <v>6270983.94173475</v>
      </c>
      <c r="AN62" t="n">
        <v>4730857.62786342</v>
      </c>
      <c r="AO62" t="n">
        <v>71015727.4350815</v>
      </c>
      <c r="AP62" t="n">
        <v>5135004.06690545</v>
      </c>
      <c r="AQ62" t="n">
        <v>78937777.7332666</v>
      </c>
      <c r="AR62" t="n">
        <v>66705927.6210905</v>
      </c>
      <c r="AS62" t="n">
        <v>179061939.65729</v>
      </c>
      <c r="AT62" t="n">
        <v>106712947.782366</v>
      </c>
      <c r="AU62" t="n">
        <v>170805477.016168</v>
      </c>
      <c r="AV62" t="n">
        <v>23754182.08521</v>
      </c>
      <c r="AW62" t="n">
        <v>8838137.97953519</v>
      </c>
      <c r="AX62" t="n">
        <v>105896832.141294</v>
      </c>
      <c r="AY62" t="n">
        <v>12392231.7692994</v>
      </c>
      <c r="AZ62" t="n">
        <v>28281478.1139597</v>
      </c>
      <c r="BA62" t="n">
        <v>84165556.2287032</v>
      </c>
      <c r="BB62" t="n">
        <v>429164728.975099</v>
      </c>
      <c r="BC62" t="n">
        <v>331843792.271278</v>
      </c>
      <c r="BD62" t="n">
        <v>145740235.612394</v>
      </c>
      <c r="BE62" t="n">
        <v>8770059.09045758</v>
      </c>
      <c r="BF62" t="n">
        <v>22705185.0917407</v>
      </c>
      <c r="BG62" t="n">
        <v>107844565.423221</v>
      </c>
      <c r="BH62" t="n">
        <v>166271809.97913</v>
      </c>
      <c r="BI62" t="n">
        <v>46454605.3005887</v>
      </c>
      <c r="BJ62" t="n">
        <v>29236788.6152312</v>
      </c>
      <c r="BK62" t="n">
        <v>20532097.593537</v>
      </c>
      <c r="BL62" t="n">
        <v>23310631.8649014</v>
      </c>
      <c r="BM62" t="n">
        <v>18941773.514115</v>
      </c>
      <c r="BN62" t="n">
        <v>70192197.436921</v>
      </c>
      <c r="BO62" t="n">
        <v>93073825.0038297</v>
      </c>
      <c r="BP62" t="n">
        <v>55898919.8892741</v>
      </c>
      <c r="BQ62" t="n">
        <v>16051932.8474904</v>
      </c>
      <c r="BR62" t="n">
        <v>2827591.60349455</v>
      </c>
      <c r="BS62" t="n">
        <v>258529044.402658</v>
      </c>
      <c r="BT62" t="n">
        <v>47573081.3158686</v>
      </c>
      <c r="BU62" t="n">
        <v>309286438.39775</v>
      </c>
      <c r="BV62" t="n">
        <v>0</v>
      </c>
      <c r="BW62" t="n">
        <v>155747486.996515</v>
      </c>
      <c r="BX62" t="n">
        <v>1517478389.97754</v>
      </c>
      <c r="BY62" t="n">
        <v>12347102.4524208</v>
      </c>
      <c r="BZ62" t="n">
        <v>0</v>
      </c>
      <c r="CA62" t="n">
        <v>2608043802.21178</v>
      </c>
      <c r="CB62" t="n">
        <v>0</v>
      </c>
      <c r="CC62" t="n">
        <v>0</v>
      </c>
      <c r="CD62" t="n">
        <v>0</v>
      </c>
      <c r="CE62" t="n">
        <v>0</v>
      </c>
      <c r="CF62" t="n">
        <v>44838796.1294313</v>
      </c>
      <c r="CG62" t="n">
        <v>0</v>
      </c>
      <c r="CH62" t="n">
        <v>0</v>
      </c>
      <c r="CI62" t="n">
        <v>0</v>
      </c>
      <c r="CJ62" t="n">
        <v>71296832.0071844</v>
      </c>
      <c r="CK62" t="n">
        <v>0</v>
      </c>
      <c r="CL62" t="n">
        <v>0</v>
      </c>
      <c r="CM62" t="n">
        <v>0</v>
      </c>
      <c r="CN62" t="n">
        <v>84900375.0966276</v>
      </c>
    </row>
    <row r="63">
      <c r="A63" t="s">
        <v>174</v>
      </c>
      <c r="B63" t="n">
        <v>0</v>
      </c>
      <c r="C63" t="n">
        <v>0</v>
      </c>
      <c r="D63" t="n">
        <v>2860039.31786695</v>
      </c>
      <c r="E63" t="n">
        <v>185555684.460936</v>
      </c>
      <c r="F63" t="n">
        <v>886299.166847462</v>
      </c>
      <c r="G63" t="n">
        <v>886900.92083197</v>
      </c>
      <c r="H63" t="n">
        <v>166210978.158637</v>
      </c>
      <c r="I63" t="n">
        <v>12918824.2272473</v>
      </c>
      <c r="J63" t="n">
        <v>38940981.9255534</v>
      </c>
      <c r="K63" t="n">
        <v>10458334.9436841</v>
      </c>
      <c r="L63" t="n">
        <v>114612918.23415</v>
      </c>
      <c r="M63" t="n">
        <v>321999840.010964</v>
      </c>
      <c r="N63" t="n">
        <v>110301301.497014</v>
      </c>
      <c r="O63" t="n">
        <v>40262436.1820324</v>
      </c>
      <c r="P63" t="n">
        <v>40676314.4025021</v>
      </c>
      <c r="Q63" t="n">
        <v>20487602.6925856</v>
      </c>
      <c r="R63" t="n">
        <v>11153052.2298909</v>
      </c>
      <c r="S63" t="n">
        <v>206229171.948048</v>
      </c>
      <c r="T63" t="n">
        <v>468729262.045423</v>
      </c>
      <c r="U63" t="n">
        <v>6061840.55526223</v>
      </c>
      <c r="V63" t="n">
        <v>3921547.52357854</v>
      </c>
      <c r="W63" t="n">
        <v>51019851.9347243</v>
      </c>
      <c r="X63" t="n">
        <v>19738813.1565021</v>
      </c>
      <c r="Y63" t="n">
        <v>85522323.8965344</v>
      </c>
      <c r="Z63" t="n">
        <v>139954736.174953</v>
      </c>
      <c r="AA63" t="n">
        <v>33789652.1550073</v>
      </c>
      <c r="AB63" t="n">
        <v>1731722337.37399</v>
      </c>
      <c r="AC63" t="n">
        <v>26532130.3924491</v>
      </c>
      <c r="AD63" t="n">
        <v>73716605.3444011</v>
      </c>
      <c r="AE63" t="n">
        <v>198458427.305084</v>
      </c>
      <c r="AF63" t="n">
        <v>343192567.793086</v>
      </c>
      <c r="AG63" t="n">
        <v>137931539.512951</v>
      </c>
      <c r="AH63" t="n">
        <v>336439.73180554</v>
      </c>
      <c r="AI63" t="n">
        <v>24934194.7213192</v>
      </c>
      <c r="AJ63" t="n">
        <v>69517692.0691594</v>
      </c>
      <c r="AK63" t="n">
        <v>4602519.78285153</v>
      </c>
      <c r="AL63" t="n">
        <v>22753.1358371331</v>
      </c>
      <c r="AM63" t="n">
        <v>77817693.630355</v>
      </c>
      <c r="AN63" t="n">
        <v>13733457.53994</v>
      </c>
      <c r="AO63" t="n">
        <v>57803328.3993553</v>
      </c>
      <c r="AP63" t="n">
        <v>1726063.57725661</v>
      </c>
      <c r="AQ63" t="n">
        <v>38239310.9197375</v>
      </c>
      <c r="AR63" t="n">
        <v>24269625.0773372</v>
      </c>
      <c r="AS63" t="n">
        <v>113574557.000472</v>
      </c>
      <c r="AT63" t="n">
        <v>176799890.233927</v>
      </c>
      <c r="AU63" t="n">
        <v>113227671.722757</v>
      </c>
      <c r="AV63" t="n">
        <v>35106581.1498828</v>
      </c>
      <c r="AW63" t="n">
        <v>352305.534872294</v>
      </c>
      <c r="AX63" t="n">
        <v>185536969.746839</v>
      </c>
      <c r="AY63" t="n">
        <v>61612806.9721357</v>
      </c>
      <c r="AZ63" t="n">
        <v>51100307.3078014</v>
      </c>
      <c r="BA63" t="n">
        <v>60415554.184983</v>
      </c>
      <c r="BB63" t="n">
        <v>238413912.623703</v>
      </c>
      <c r="BC63" t="n">
        <v>1635409.24088573</v>
      </c>
      <c r="BD63" t="n">
        <v>246422078.26168</v>
      </c>
      <c r="BE63" t="n">
        <v>49819241.3316571</v>
      </c>
      <c r="BF63" t="n">
        <v>87038289.8367249</v>
      </c>
      <c r="BG63" t="n">
        <v>841180141.901199</v>
      </c>
      <c r="BH63" t="n">
        <v>202226278.27123</v>
      </c>
      <c r="BI63" t="n">
        <v>159272655.405968</v>
      </c>
      <c r="BJ63" t="n">
        <v>44005632.7776606</v>
      </c>
      <c r="BK63" t="n">
        <v>43602009.3891742</v>
      </c>
      <c r="BL63" t="n">
        <v>37404032.3323406</v>
      </c>
      <c r="BM63" t="n">
        <v>192227594.982752</v>
      </c>
      <c r="BN63" t="n">
        <v>592382826.084331</v>
      </c>
      <c r="BO63" t="n">
        <v>157678174.020531</v>
      </c>
      <c r="BP63" t="n">
        <v>0</v>
      </c>
      <c r="BQ63" t="n">
        <v>0</v>
      </c>
      <c r="BR63" t="n">
        <v>1452233.69273674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165072207.34648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7749597.27840639</v>
      </c>
      <c r="C64" t="n">
        <v>106885.773420941</v>
      </c>
      <c r="D64" t="n">
        <v>37694.481992472</v>
      </c>
      <c r="E64" t="n">
        <v>11523779.4669026</v>
      </c>
      <c r="F64" t="n">
        <v>235935.62368372</v>
      </c>
      <c r="G64" t="n">
        <v>111705383.246268</v>
      </c>
      <c r="H64" t="n">
        <v>83782588.7698233</v>
      </c>
      <c r="I64" t="n">
        <v>12301304.2929784</v>
      </c>
      <c r="J64" t="n">
        <v>13502155.112862</v>
      </c>
      <c r="K64" t="n">
        <v>25627981.19628</v>
      </c>
      <c r="L64" t="n">
        <v>159204623.093061</v>
      </c>
      <c r="M64" t="n">
        <v>56013697.8092722</v>
      </c>
      <c r="N64" t="n">
        <v>41021288.5183899</v>
      </c>
      <c r="O64" t="n">
        <v>6456865.72595707</v>
      </c>
      <c r="P64" t="n">
        <v>11705199.1462728</v>
      </c>
      <c r="Q64" t="n">
        <v>22179868.6705004</v>
      </c>
      <c r="R64" t="n">
        <v>5823003.08149066</v>
      </c>
      <c r="S64" t="n">
        <v>59403738.4434438</v>
      </c>
      <c r="T64" t="n">
        <v>46917759.6253393</v>
      </c>
      <c r="U64" t="n">
        <v>1165239.56102335</v>
      </c>
      <c r="V64" t="n">
        <v>2773075.05838593</v>
      </c>
      <c r="W64" t="n">
        <v>21563315.6514972</v>
      </c>
      <c r="X64" t="n">
        <v>90474502.2266488</v>
      </c>
      <c r="Y64" t="n">
        <v>26355569.0125505</v>
      </c>
      <c r="Z64" t="n">
        <v>25470439.3502644</v>
      </c>
      <c r="AA64" t="n">
        <v>22981503.7481148</v>
      </c>
      <c r="AB64" t="n">
        <v>871341702.49704</v>
      </c>
      <c r="AC64" t="n">
        <v>62057822.0243328</v>
      </c>
      <c r="AD64" t="n">
        <v>30543334.4534301</v>
      </c>
      <c r="AE64" t="n">
        <v>57281076.5303871</v>
      </c>
      <c r="AF64" t="n">
        <v>175133109.226365</v>
      </c>
      <c r="AG64" t="n">
        <v>68551139.7110677</v>
      </c>
      <c r="AH64" t="n">
        <v>14608320.6539598</v>
      </c>
      <c r="AI64" t="n">
        <v>63600822.8794695</v>
      </c>
      <c r="AJ64" t="n">
        <v>113011833.77395</v>
      </c>
      <c r="AK64" t="n">
        <v>94747721.5386203</v>
      </c>
      <c r="AL64" t="n">
        <v>12831752.0448233</v>
      </c>
      <c r="AM64" t="n">
        <v>73703104.8849936</v>
      </c>
      <c r="AN64" t="n">
        <v>32628125.6161007</v>
      </c>
      <c r="AO64" t="n">
        <v>182979739.433626</v>
      </c>
      <c r="AP64" t="n">
        <v>3792201.27197846</v>
      </c>
      <c r="AQ64" t="n">
        <v>224258173.264971</v>
      </c>
      <c r="AR64" t="n">
        <v>104773140.114797</v>
      </c>
      <c r="AS64" t="n">
        <v>259676800.12062</v>
      </c>
      <c r="AT64" t="n">
        <v>118183804.985726</v>
      </c>
      <c r="AU64" t="n">
        <v>155373306.925207</v>
      </c>
      <c r="AV64" t="n">
        <v>2859702.53045742</v>
      </c>
      <c r="AW64" t="n">
        <v>29196176.3706979</v>
      </c>
      <c r="AX64" t="n">
        <v>803717421.740954</v>
      </c>
      <c r="AY64" t="n">
        <v>82665479.172565</v>
      </c>
      <c r="AZ64" t="n">
        <v>80054777.237672</v>
      </c>
      <c r="BA64" t="n">
        <v>279283633.126807</v>
      </c>
      <c r="BB64" t="n">
        <v>554499349.788186</v>
      </c>
      <c r="BC64" t="n">
        <v>373049019.33724</v>
      </c>
      <c r="BD64" t="n">
        <v>715980264.544401</v>
      </c>
      <c r="BE64" t="n">
        <v>46704420.4062175</v>
      </c>
      <c r="BF64" t="n">
        <v>41313823.0103365</v>
      </c>
      <c r="BG64" t="n">
        <v>347851384.002385</v>
      </c>
      <c r="BH64" t="n">
        <v>514989196.371767</v>
      </c>
      <c r="BI64" t="n">
        <v>164307298.491073</v>
      </c>
      <c r="BJ64" t="n">
        <v>49839617.8062106</v>
      </c>
      <c r="BK64" t="n">
        <v>40569732.6418899</v>
      </c>
      <c r="BL64" t="n">
        <v>27550389.5353984</v>
      </c>
      <c r="BM64" t="n">
        <v>36035572.9404263</v>
      </c>
      <c r="BN64" t="n">
        <v>91798378.9509949</v>
      </c>
      <c r="BO64" t="n">
        <v>167320262.325662</v>
      </c>
      <c r="BP64" t="n">
        <v>19454636.5092277</v>
      </c>
      <c r="BQ64" t="n">
        <v>56684426.9624787</v>
      </c>
      <c r="BR64" t="n">
        <v>3329979.34356352</v>
      </c>
      <c r="BS64" t="n">
        <v>454376256.028998</v>
      </c>
      <c r="BT64" t="n">
        <v>48641091.5083672</v>
      </c>
      <c r="BU64" t="n">
        <v>845044873.103804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44478274.816345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1362604.13568126</v>
      </c>
      <c r="C65" t="n">
        <v>3344.33291603781</v>
      </c>
      <c r="D65" t="n">
        <v>20611.8369623953</v>
      </c>
      <c r="E65" t="n">
        <v>991711.113879078</v>
      </c>
      <c r="F65" t="n">
        <v>7474.72050269604</v>
      </c>
      <c r="G65" t="n">
        <v>2619539.44877413</v>
      </c>
      <c r="H65" t="n">
        <v>8940161.26408521</v>
      </c>
      <c r="I65" t="n">
        <v>1093939.95787777</v>
      </c>
      <c r="J65" t="n">
        <v>1262823.98727944</v>
      </c>
      <c r="K65" t="n">
        <v>826392.73940351</v>
      </c>
      <c r="L65" t="n">
        <v>2679008.74758775</v>
      </c>
      <c r="M65" t="n">
        <v>2037215.11578429</v>
      </c>
      <c r="N65" t="n">
        <v>755898.377068994</v>
      </c>
      <c r="O65" t="n">
        <v>322743.155856829</v>
      </c>
      <c r="P65" t="n">
        <v>294286.885212971</v>
      </c>
      <c r="Q65" t="n">
        <v>345567.072317699</v>
      </c>
      <c r="R65" t="n">
        <v>680728.829652756</v>
      </c>
      <c r="S65" t="n">
        <v>1647720.78124349</v>
      </c>
      <c r="T65" t="n">
        <v>6672148.33062586</v>
      </c>
      <c r="U65" t="n">
        <v>126391.219649624</v>
      </c>
      <c r="V65" t="n">
        <v>4275.44230516285</v>
      </c>
      <c r="W65" t="n">
        <v>1898812.97644487</v>
      </c>
      <c r="X65" t="n">
        <v>1152781.66207456</v>
      </c>
      <c r="Y65" t="n">
        <v>2491242.96846467</v>
      </c>
      <c r="Z65" t="n">
        <v>3300766.27807835</v>
      </c>
      <c r="AA65" t="n">
        <v>1520410.68943804</v>
      </c>
      <c r="AB65" t="n">
        <v>12769386.2638546</v>
      </c>
      <c r="AC65" t="n">
        <v>3254650.71749423</v>
      </c>
      <c r="AD65" t="n">
        <v>1659840.60996445</v>
      </c>
      <c r="AE65" t="n">
        <v>1138296.50253013</v>
      </c>
      <c r="AF65" t="n">
        <v>4240749.49175326</v>
      </c>
      <c r="AG65" t="n">
        <v>839322.007827954</v>
      </c>
      <c r="AH65" t="n">
        <v>1206018.16467008</v>
      </c>
      <c r="AI65" t="n">
        <v>46597.7164734684</v>
      </c>
      <c r="AJ65" t="n">
        <v>4107866.07236045</v>
      </c>
      <c r="AK65" t="n">
        <v>263018.687547873</v>
      </c>
      <c r="AL65" t="n">
        <v>521394.621055782</v>
      </c>
      <c r="AM65" t="n">
        <v>905135.704433586</v>
      </c>
      <c r="AN65" t="n">
        <v>578713.247391251</v>
      </c>
      <c r="AO65" t="n">
        <v>223792.305692093</v>
      </c>
      <c r="AP65" t="n">
        <v>47754.5691603529</v>
      </c>
      <c r="AQ65" t="n">
        <v>230771.13513207</v>
      </c>
      <c r="AR65" t="n">
        <v>163835.830043865</v>
      </c>
      <c r="AS65" t="n">
        <v>2227174.64564903</v>
      </c>
      <c r="AT65" t="n">
        <v>498419.826348735</v>
      </c>
      <c r="AU65" t="n">
        <v>8354050.61059055</v>
      </c>
      <c r="AV65" t="n">
        <v>3563137.89883087</v>
      </c>
      <c r="AW65" t="n">
        <v>12713.6727293327</v>
      </c>
      <c r="AX65" t="n">
        <v>138661823.068515</v>
      </c>
      <c r="AY65" t="n">
        <v>1173051.64439676</v>
      </c>
      <c r="AZ65" t="n">
        <v>1151451.29410302</v>
      </c>
      <c r="BA65" t="n">
        <v>1285831.6170247</v>
      </c>
      <c r="BB65" t="n">
        <v>9315848.20106164</v>
      </c>
      <c r="BC65" t="n">
        <v>6317017.6103217</v>
      </c>
      <c r="BD65" t="n">
        <v>9028427.83237976</v>
      </c>
      <c r="BE65" t="n">
        <v>54518585.7541619</v>
      </c>
      <c r="BF65" t="n">
        <v>1069280.48514826</v>
      </c>
      <c r="BG65" t="n">
        <v>9425562.30856129</v>
      </c>
      <c r="BH65" t="n">
        <v>12060601.0372816</v>
      </c>
      <c r="BI65" t="n">
        <v>6271190.76350203</v>
      </c>
      <c r="BJ65" t="n">
        <v>2922498.53328091</v>
      </c>
      <c r="BK65" t="n">
        <v>462183.378481534</v>
      </c>
      <c r="BL65" t="n">
        <v>2171519.16520324</v>
      </c>
      <c r="BM65" t="n">
        <v>2852518.3265636</v>
      </c>
      <c r="BN65" t="n">
        <v>7217218.48271786</v>
      </c>
      <c r="BO65" t="n">
        <v>7231496.297647</v>
      </c>
      <c r="BP65" t="n">
        <v>138918.92846536</v>
      </c>
      <c r="BQ65" t="n">
        <v>2530464.86037161</v>
      </c>
      <c r="BR65" t="n">
        <v>599655.321583809</v>
      </c>
      <c r="BS65" t="n">
        <v>116705817.718582</v>
      </c>
      <c r="BT65" t="n">
        <v>13145213.7662898</v>
      </c>
      <c r="BU65" t="n">
        <v>176706766.475164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4214283.97079804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15908.0583503318</v>
      </c>
      <c r="C66" t="n">
        <v>0</v>
      </c>
      <c r="D66" t="n">
        <v>0</v>
      </c>
      <c r="E66" t="n">
        <v>0</v>
      </c>
      <c r="F66" t="n">
        <v>0</v>
      </c>
      <c r="G66" t="n">
        <v>534704.419530521</v>
      </c>
      <c r="H66" t="n">
        <v>21033.5678318925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303417.383388223</v>
      </c>
      <c r="Y66" t="n">
        <v>30967.3415058945</v>
      </c>
      <c r="Z66" t="n">
        <v>0</v>
      </c>
      <c r="AA66" t="n">
        <v>5644.63035386431</v>
      </c>
      <c r="AB66" t="n">
        <v>9530014.92746348</v>
      </c>
      <c r="AC66" t="n">
        <v>341606.700000739</v>
      </c>
      <c r="AD66" t="n">
        <v>2214891.27741012</v>
      </c>
      <c r="AE66" t="n">
        <v>0</v>
      </c>
      <c r="AF66" t="n">
        <v>11571050.3027042</v>
      </c>
      <c r="AG66" t="n">
        <v>1016100.41979551</v>
      </c>
      <c r="AH66" t="n">
        <v>75124.601597667</v>
      </c>
      <c r="AI66" t="n">
        <v>0</v>
      </c>
      <c r="AJ66" t="n">
        <v>0</v>
      </c>
      <c r="AK66" t="n">
        <v>0</v>
      </c>
      <c r="AL66" t="n">
        <v>19052.3008648047</v>
      </c>
      <c r="AM66" t="n">
        <v>106341.114243895</v>
      </c>
      <c r="AN66" t="n">
        <v>0</v>
      </c>
      <c r="AO66" t="n">
        <v>0</v>
      </c>
      <c r="AP66" t="n">
        <v>0</v>
      </c>
      <c r="AQ66" t="n">
        <v>46562.7107549183</v>
      </c>
      <c r="AR66" t="n">
        <v>241128.434050263</v>
      </c>
      <c r="AS66" t="n">
        <v>196112.823387812</v>
      </c>
      <c r="AT66" t="n">
        <v>30840.304095903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369920.753237761</v>
      </c>
      <c r="BB66" t="n">
        <v>165589.046894334</v>
      </c>
      <c r="BC66" t="n">
        <v>0</v>
      </c>
      <c r="BD66" t="n">
        <v>987425.161930259</v>
      </c>
      <c r="BE66" t="n">
        <v>0</v>
      </c>
      <c r="BF66" t="n">
        <v>9160712.25891134</v>
      </c>
      <c r="BG66" t="n">
        <v>0</v>
      </c>
      <c r="BH66" t="n">
        <v>30634.7971872526</v>
      </c>
      <c r="BI66" t="n">
        <v>0</v>
      </c>
      <c r="BJ66" t="n">
        <v>0</v>
      </c>
      <c r="BK66" t="n">
        <v>10948275.9860469</v>
      </c>
      <c r="BL66" t="n">
        <v>1094358.59435632</v>
      </c>
      <c r="BM66" t="n">
        <v>0</v>
      </c>
      <c r="BN66" t="n">
        <v>0</v>
      </c>
      <c r="BO66" t="n">
        <v>9524307.06172183</v>
      </c>
      <c r="BP66" t="n">
        <v>0</v>
      </c>
      <c r="BQ66" t="n">
        <v>48504.3496174077</v>
      </c>
      <c r="BR66" t="n">
        <v>285298.288911216</v>
      </c>
      <c r="BS66" t="n">
        <v>43462139.0657914</v>
      </c>
      <c r="BT66" t="n">
        <v>24231.6383845453</v>
      </c>
      <c r="BU66" t="n">
        <v>2079048220.69834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38581575.32788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1427056.84548451</v>
      </c>
      <c r="BC67" t="n">
        <v>0</v>
      </c>
      <c r="BD67" t="n">
        <v>1337786.50306748</v>
      </c>
      <c r="BE67" t="n">
        <v>0</v>
      </c>
      <c r="BF67" t="n">
        <v>0</v>
      </c>
      <c r="BG67" t="n">
        <v>334006292.687846</v>
      </c>
      <c r="BH67" t="n">
        <v>290651182.729746</v>
      </c>
      <c r="BI67" t="n">
        <v>2844431.55452436</v>
      </c>
      <c r="BJ67" t="n">
        <v>24366.9335075968</v>
      </c>
      <c r="BK67" t="n">
        <v>1892263.12905223</v>
      </c>
      <c r="BL67" t="n">
        <v>46459.3662985084</v>
      </c>
      <c r="BM67" t="n">
        <v>0</v>
      </c>
      <c r="BN67" t="n">
        <v>0</v>
      </c>
      <c r="BO67" t="n">
        <v>946840.523663636</v>
      </c>
      <c r="BP67" t="n">
        <v>0</v>
      </c>
      <c r="BQ67" t="n">
        <v>5660758.11116586</v>
      </c>
      <c r="BR67" t="n">
        <v>0</v>
      </c>
      <c r="BS67" t="n">
        <v>191754821.029943</v>
      </c>
      <c r="BT67" t="n">
        <v>0</v>
      </c>
      <c r="BU67" t="n">
        <v>22958970573.6707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22233233.7032813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20951676.8513368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22727752826.8484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96476273.2402939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17805657.3314853</v>
      </c>
      <c r="BR69" t="n">
        <v>0</v>
      </c>
      <c r="BS69" t="n">
        <v>22969561.4495761</v>
      </c>
      <c r="BT69" t="n">
        <v>0</v>
      </c>
      <c r="BU69" t="n">
        <v>5148041485.63803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8180583.00289462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4998305599.02994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1917672.09411094</v>
      </c>
      <c r="C71" t="n">
        <v>0</v>
      </c>
      <c r="D71" t="n">
        <v>0</v>
      </c>
      <c r="E71" t="n">
        <v>0</v>
      </c>
      <c r="F71" t="n">
        <v>4025.87737449024</v>
      </c>
      <c r="G71" t="n">
        <v>1612435.95772109</v>
      </c>
      <c r="H71" t="n">
        <v>2751986.33974481</v>
      </c>
      <c r="I71" t="n">
        <v>697489.436430392</v>
      </c>
      <c r="J71" t="n">
        <v>604296.402928018</v>
      </c>
      <c r="K71" t="n">
        <v>463110.069295734</v>
      </c>
      <c r="L71" t="n">
        <v>1721564.17110617</v>
      </c>
      <c r="M71" t="n">
        <v>1317951.75321946</v>
      </c>
      <c r="N71" t="n">
        <v>150934.572339076</v>
      </c>
      <c r="O71" t="n">
        <v>83088.1508444959</v>
      </c>
      <c r="P71" t="n">
        <v>183837.597001665</v>
      </c>
      <c r="Q71" t="n">
        <v>90097.3210584918</v>
      </c>
      <c r="R71" t="n">
        <v>348307.907011384</v>
      </c>
      <c r="S71" t="n">
        <v>1322490.6788003</v>
      </c>
      <c r="T71" t="n">
        <v>1844235.89345947</v>
      </c>
      <c r="U71" t="n">
        <v>33164.3494843179</v>
      </c>
      <c r="V71" t="n">
        <v>11667.2624672497</v>
      </c>
      <c r="W71" t="n">
        <v>818159.094778261</v>
      </c>
      <c r="X71" t="n">
        <v>1455532.36934371</v>
      </c>
      <c r="Y71" t="n">
        <v>713220.549187195</v>
      </c>
      <c r="Z71" t="n">
        <v>261464.941716508</v>
      </c>
      <c r="AA71" t="n">
        <v>1510254.76833037</v>
      </c>
      <c r="AB71" t="n">
        <v>57049881.4558032</v>
      </c>
      <c r="AC71" t="n">
        <v>5796729.32279185</v>
      </c>
      <c r="AD71" t="n">
        <v>5795373.77041081</v>
      </c>
      <c r="AE71" t="n">
        <v>1242519.77808555</v>
      </c>
      <c r="AF71" t="n">
        <v>7553292.08040085</v>
      </c>
      <c r="AG71" t="n">
        <v>0</v>
      </c>
      <c r="AH71" t="n">
        <v>3379457.03297809</v>
      </c>
      <c r="AI71" t="n">
        <v>0</v>
      </c>
      <c r="AJ71" t="n">
        <v>1084835.16518085</v>
      </c>
      <c r="AK71" t="n">
        <v>358876.09308947</v>
      </c>
      <c r="AL71" t="n">
        <v>0</v>
      </c>
      <c r="AM71" t="n">
        <v>3324634.8372141</v>
      </c>
      <c r="AN71" t="n">
        <v>58801.9234490274</v>
      </c>
      <c r="AO71" t="n">
        <v>2570651.40429696</v>
      </c>
      <c r="AP71" t="n">
        <v>32797523.3924414</v>
      </c>
      <c r="AQ71" t="n">
        <v>271970627.573723</v>
      </c>
      <c r="AR71" t="n">
        <v>3161578.4474671</v>
      </c>
      <c r="AS71" t="n">
        <v>44149334.2538421</v>
      </c>
      <c r="AT71" t="n">
        <v>8840902.14903656</v>
      </c>
      <c r="AU71" t="n">
        <v>3960642.81930195</v>
      </c>
      <c r="AV71" t="n">
        <v>8927381.41815911</v>
      </c>
      <c r="AW71" t="n">
        <v>0</v>
      </c>
      <c r="AX71" t="n">
        <v>43326324.1087674</v>
      </c>
      <c r="AY71" t="n">
        <v>1383089.18639431</v>
      </c>
      <c r="AZ71" t="n">
        <v>6379253.95574257</v>
      </c>
      <c r="BA71" t="n">
        <v>11989849.0041195</v>
      </c>
      <c r="BB71" t="n">
        <v>70963269.9068659</v>
      </c>
      <c r="BC71" t="n">
        <v>122846831.294869</v>
      </c>
      <c r="BD71" t="n">
        <v>25507524.9763485</v>
      </c>
      <c r="BE71" t="n">
        <v>1395349.69373878</v>
      </c>
      <c r="BF71" t="n">
        <v>16883349.2949265</v>
      </c>
      <c r="BG71" t="n">
        <v>17792270.5046021</v>
      </c>
      <c r="BH71" t="n">
        <v>24949858.9646093</v>
      </c>
      <c r="BI71" t="n">
        <v>5084435.00144638</v>
      </c>
      <c r="BJ71" t="n">
        <v>16595477.2646885</v>
      </c>
      <c r="BK71" t="n">
        <v>265823038.968032</v>
      </c>
      <c r="BL71" t="n">
        <v>8683811.36802113</v>
      </c>
      <c r="BM71" t="n">
        <v>2619518.38362851</v>
      </c>
      <c r="BN71" t="n">
        <v>38426233.4778035</v>
      </c>
      <c r="BO71" t="n">
        <v>20092323.3720863</v>
      </c>
      <c r="BP71" t="n">
        <v>0</v>
      </c>
      <c r="BQ71" t="n">
        <v>127599.602798318</v>
      </c>
      <c r="BR71" t="n">
        <v>213144.606015468</v>
      </c>
      <c r="BS71" t="n">
        <v>23331774.5987899</v>
      </c>
      <c r="BT71" t="n">
        <v>267169.798828109</v>
      </c>
      <c r="BU71" t="n">
        <v>1192378178.62285</v>
      </c>
      <c r="BV71" t="n">
        <v>0</v>
      </c>
      <c r="BW71" t="n">
        <v>0</v>
      </c>
      <c r="BX71" t="n">
        <v>70286453.2581843</v>
      </c>
      <c r="BY71" t="n">
        <v>0</v>
      </c>
      <c r="BZ71" t="n">
        <v>0</v>
      </c>
      <c r="CA71" t="n">
        <v>21509271.958807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204545.673847159</v>
      </c>
      <c r="C72" t="n">
        <v>0</v>
      </c>
      <c r="D72" t="n">
        <v>0</v>
      </c>
      <c r="E72" t="n">
        <v>0</v>
      </c>
      <c r="F72" t="n">
        <v>950.164317464176</v>
      </c>
      <c r="G72" t="n">
        <v>274225.486867139</v>
      </c>
      <c r="H72" t="n">
        <v>618170.124612294</v>
      </c>
      <c r="I72" t="n">
        <v>69720.3219707452</v>
      </c>
      <c r="J72" t="n">
        <v>95232.8603056815</v>
      </c>
      <c r="K72" t="n">
        <v>33544.9297677934</v>
      </c>
      <c r="L72" t="n">
        <v>196444.94548838</v>
      </c>
      <c r="M72" t="n">
        <v>129745.015642821</v>
      </c>
      <c r="N72" t="n">
        <v>20954.5327665397</v>
      </c>
      <c r="O72" t="n">
        <v>6921.17128263039</v>
      </c>
      <c r="P72" t="n">
        <v>20149.3595103435</v>
      </c>
      <c r="Q72" t="n">
        <v>10006.7054859046</v>
      </c>
      <c r="R72" t="n">
        <v>48356.2469300836</v>
      </c>
      <c r="S72" t="n">
        <v>146883.110120635</v>
      </c>
      <c r="T72" t="n">
        <v>153623.25884586</v>
      </c>
      <c r="U72" t="n">
        <v>0</v>
      </c>
      <c r="V72" t="n">
        <v>0</v>
      </c>
      <c r="W72" t="n">
        <v>61162.0034881042</v>
      </c>
      <c r="X72" t="n">
        <v>156444.633075565</v>
      </c>
      <c r="Y72" t="n">
        <v>37921.6955935397</v>
      </c>
      <c r="Z72" t="n">
        <v>29947.2305977592</v>
      </c>
      <c r="AA72" t="n">
        <v>117508.221285362</v>
      </c>
      <c r="AB72" t="n">
        <v>3517734.83621414</v>
      </c>
      <c r="AC72" t="n">
        <v>41832.1517450113</v>
      </c>
      <c r="AD72" t="n">
        <v>196911.03542159</v>
      </c>
      <c r="AE72" t="n">
        <v>14375.1146603202</v>
      </c>
      <c r="AF72" t="n">
        <v>1642923.56084768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21703.7001312454</v>
      </c>
      <c r="AN72" t="n">
        <v>3498.67820933355</v>
      </c>
      <c r="AO72" t="n">
        <v>159712.491528528</v>
      </c>
      <c r="AP72" t="n">
        <v>18878.8487736244</v>
      </c>
      <c r="AQ72" t="n">
        <v>133045.094194407</v>
      </c>
      <c r="AR72" t="n">
        <v>409666.066572862</v>
      </c>
      <c r="AS72" t="n">
        <v>3193399.07437352</v>
      </c>
      <c r="AT72" t="n">
        <v>906387.103624831</v>
      </c>
      <c r="AU72" t="n">
        <v>244676.125029779</v>
      </c>
      <c r="AV72" t="n">
        <v>319719.197381021</v>
      </c>
      <c r="AW72" t="n">
        <v>0</v>
      </c>
      <c r="AX72" t="n">
        <v>0</v>
      </c>
      <c r="AY72" t="n">
        <v>150628.092994187</v>
      </c>
      <c r="AZ72" t="n">
        <v>395082.788798346</v>
      </c>
      <c r="BA72" t="n">
        <v>1434481.23518318</v>
      </c>
      <c r="BB72" t="n">
        <v>2323697.3523818</v>
      </c>
      <c r="BC72" t="n">
        <v>10471532.602812</v>
      </c>
      <c r="BD72" t="n">
        <v>2394818.87869657</v>
      </c>
      <c r="BE72" t="n">
        <v>153513.203724507</v>
      </c>
      <c r="BF72" t="n">
        <v>255066.820606269</v>
      </c>
      <c r="BG72" t="n">
        <v>2299275.52317571</v>
      </c>
      <c r="BH72" t="n">
        <v>105040.520484922</v>
      </c>
      <c r="BI72" t="n">
        <v>299569.327427218</v>
      </c>
      <c r="BJ72" t="n">
        <v>512900.489630103</v>
      </c>
      <c r="BK72" t="n">
        <v>739148.039165521</v>
      </c>
      <c r="BL72" t="n">
        <v>1298725.69947124</v>
      </c>
      <c r="BM72" t="n">
        <v>1365707.06312271</v>
      </c>
      <c r="BN72" t="n">
        <v>4049415.45898684</v>
      </c>
      <c r="BO72" t="n">
        <v>256661.725081784</v>
      </c>
      <c r="BP72" t="n">
        <v>9109.14806264146</v>
      </c>
      <c r="BQ72" t="n">
        <v>6252.31578175194</v>
      </c>
      <c r="BR72" t="n">
        <v>2863.67125720133</v>
      </c>
      <c r="BS72" t="n">
        <v>4329308.02259629</v>
      </c>
      <c r="BT72" t="n">
        <v>389462.740567904</v>
      </c>
      <c r="BU72" t="n">
        <v>1203614751.10719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283331.003719702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21098.5093156761</v>
      </c>
      <c r="C73" t="n">
        <v>0</v>
      </c>
      <c r="D73" t="n">
        <v>106.384293323967</v>
      </c>
      <c r="E73" t="n">
        <v>233764.753388501</v>
      </c>
      <c r="F73" t="n">
        <v>31235.629983494</v>
      </c>
      <c r="G73" t="n">
        <v>13298392.0381306</v>
      </c>
      <c r="H73" t="n">
        <v>5537427.5124227</v>
      </c>
      <c r="I73" t="n">
        <v>2315670.31873996</v>
      </c>
      <c r="J73" t="n">
        <v>2696439.31484169</v>
      </c>
      <c r="K73" t="n">
        <v>1226172.1182379</v>
      </c>
      <c r="L73" t="n">
        <v>6893450.1854753</v>
      </c>
      <c r="M73" t="n">
        <v>5037139.97616936</v>
      </c>
      <c r="N73" t="n">
        <v>907797.004528924</v>
      </c>
      <c r="O73" t="n">
        <v>374800.683234288</v>
      </c>
      <c r="P73" t="n">
        <v>912196.286547059</v>
      </c>
      <c r="Q73" t="n">
        <v>335972.386454492</v>
      </c>
      <c r="R73" t="n">
        <v>1613073.19919272</v>
      </c>
      <c r="S73" t="n">
        <v>5886055.54720829</v>
      </c>
      <c r="T73" t="n">
        <v>5460372.4004553</v>
      </c>
      <c r="U73" t="n">
        <v>101728.273998111</v>
      </c>
      <c r="V73" t="n">
        <v>21051.8486679674</v>
      </c>
      <c r="W73" t="n">
        <v>2233296.77394444</v>
      </c>
      <c r="X73" t="n">
        <v>7370563.60613778</v>
      </c>
      <c r="Y73" t="n">
        <v>1327972.24942981</v>
      </c>
      <c r="Z73" t="n">
        <v>1203025.73299746</v>
      </c>
      <c r="AA73" t="n">
        <v>4446891.6563051</v>
      </c>
      <c r="AB73" t="n">
        <v>54422691.0288671</v>
      </c>
      <c r="AC73" t="n">
        <v>478954.939316144</v>
      </c>
      <c r="AD73" t="n">
        <v>798026.151787493</v>
      </c>
      <c r="AE73" t="n">
        <v>762883.408706421</v>
      </c>
      <c r="AF73" t="n">
        <v>2907626.56295195</v>
      </c>
      <c r="AG73" t="n">
        <v>0</v>
      </c>
      <c r="AH73" t="n">
        <v>318835.563056485</v>
      </c>
      <c r="AI73" t="n">
        <v>0</v>
      </c>
      <c r="AJ73" t="n">
        <v>0</v>
      </c>
      <c r="AK73" t="n">
        <v>0</v>
      </c>
      <c r="AL73" t="n">
        <v>65698.4881444804</v>
      </c>
      <c r="AM73" t="n">
        <v>3685790.20150593</v>
      </c>
      <c r="AN73" t="n">
        <v>113677.896101144</v>
      </c>
      <c r="AO73" t="n">
        <v>6342508.93398031</v>
      </c>
      <c r="AP73" t="n">
        <v>897105.273320176</v>
      </c>
      <c r="AQ73" t="n">
        <v>5385045.00720421</v>
      </c>
      <c r="AR73" t="n">
        <v>16295565.8050744</v>
      </c>
      <c r="AS73" t="n">
        <v>126338371.532991</v>
      </c>
      <c r="AT73" t="n">
        <v>36260349.7077949</v>
      </c>
      <c r="AU73" t="n">
        <v>9522826.31377268</v>
      </c>
      <c r="AV73" t="n">
        <v>13004500.5486677</v>
      </c>
      <c r="AW73" t="n">
        <v>78251.0601268016</v>
      </c>
      <c r="AX73" t="n">
        <v>105469938.924903</v>
      </c>
      <c r="AY73" t="n">
        <v>6565226.65266372</v>
      </c>
      <c r="AZ73" t="n">
        <v>12269936.3459483</v>
      </c>
      <c r="BA73" t="n">
        <v>57951306.3018584</v>
      </c>
      <c r="BB73" t="n">
        <v>88464152.4232054</v>
      </c>
      <c r="BC73" t="n">
        <v>25696076.3662891</v>
      </c>
      <c r="BD73" t="n">
        <v>62381819.5878283</v>
      </c>
      <c r="BE73" t="n">
        <v>7078068.01767217</v>
      </c>
      <c r="BF73" t="n">
        <v>8157546.1035076</v>
      </c>
      <c r="BG73" t="n">
        <v>59987900.2463283</v>
      </c>
      <c r="BH73" t="n">
        <v>4501832.85654583</v>
      </c>
      <c r="BI73" t="n">
        <v>6869395.00631547</v>
      </c>
      <c r="BJ73" t="n">
        <v>7247949.42384818</v>
      </c>
      <c r="BK73" t="n">
        <v>1429892.59568911</v>
      </c>
      <c r="BL73" t="n">
        <v>2869223.94429342</v>
      </c>
      <c r="BM73" t="n">
        <v>4718152.92384567</v>
      </c>
      <c r="BN73" t="n">
        <v>27774578.4900778</v>
      </c>
      <c r="BO73" t="n">
        <v>8546235.98944874</v>
      </c>
      <c r="BP73" t="n">
        <v>9753902.85061247</v>
      </c>
      <c r="BQ73" t="n">
        <v>7022155.35479448</v>
      </c>
      <c r="BR73" t="n">
        <v>322557.594928794</v>
      </c>
      <c r="BS73" t="n">
        <v>47603953.923327</v>
      </c>
      <c r="BT73" t="n">
        <v>1438170.63042419</v>
      </c>
      <c r="BU73" t="n">
        <v>2230503318.20147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11457025.1968494</v>
      </c>
      <c r="C74" t="n">
        <v>45506.7933696545</v>
      </c>
      <c r="D74" t="n">
        <v>1910.9459843072</v>
      </c>
      <c r="E74" t="n">
        <v>1184344.38663814</v>
      </c>
      <c r="F74" t="n">
        <v>84311.8552573918</v>
      </c>
      <c r="G74" t="n">
        <v>35811931.9896186</v>
      </c>
      <c r="H74" t="n">
        <v>9289495.56066945</v>
      </c>
      <c r="I74" t="n">
        <v>4521263.30657613</v>
      </c>
      <c r="J74" t="n">
        <v>4662325.48571553</v>
      </c>
      <c r="K74" t="n">
        <v>2510008.60063391</v>
      </c>
      <c r="L74" t="n">
        <v>11171275.7983541</v>
      </c>
      <c r="M74" t="n">
        <v>9021164.19215988</v>
      </c>
      <c r="N74" t="n">
        <v>1317060.09156988</v>
      </c>
      <c r="O74" t="n">
        <v>973611.666034211</v>
      </c>
      <c r="P74" t="n">
        <v>1441343.38970194</v>
      </c>
      <c r="Q74" t="n">
        <v>621466.228017836</v>
      </c>
      <c r="R74" t="n">
        <v>2547261.71604673</v>
      </c>
      <c r="S74" t="n">
        <v>9232078.07212286</v>
      </c>
      <c r="T74" t="n">
        <v>11390403.5018755</v>
      </c>
      <c r="U74" t="n">
        <v>289393.215164415</v>
      </c>
      <c r="V74" t="n">
        <v>87264.7884179985</v>
      </c>
      <c r="W74" t="n">
        <v>4576463.74131137</v>
      </c>
      <c r="X74" t="n">
        <v>9189219.98495167</v>
      </c>
      <c r="Y74" t="n">
        <v>3953585.15571048</v>
      </c>
      <c r="Z74" t="n">
        <v>1971912.59780744</v>
      </c>
      <c r="AA74" t="n">
        <v>7447836.70005176</v>
      </c>
      <c r="AB74" t="n">
        <v>180614661.41062</v>
      </c>
      <c r="AC74" t="n">
        <v>14273266.3307878</v>
      </c>
      <c r="AD74" t="n">
        <v>14809968.4617583</v>
      </c>
      <c r="AE74" t="n">
        <v>20974627.2478209</v>
      </c>
      <c r="AF74" t="n">
        <v>54415922.2747752</v>
      </c>
      <c r="AG74" t="n">
        <v>201477259.112664</v>
      </c>
      <c r="AH74" t="n">
        <v>82602.9532758845</v>
      </c>
      <c r="AI74" t="n">
        <v>301179.199690702</v>
      </c>
      <c r="AJ74" t="n">
        <v>19772698.9514072</v>
      </c>
      <c r="AK74" t="n">
        <v>3131564.70848057</v>
      </c>
      <c r="AL74" t="n">
        <v>474841.296358169</v>
      </c>
      <c r="AM74" t="n">
        <v>19461840.2505329</v>
      </c>
      <c r="AN74" t="n">
        <v>2848270.41024942</v>
      </c>
      <c r="AO74" t="n">
        <v>7630635.43114465</v>
      </c>
      <c r="AP74" t="n">
        <v>1666885.76430064</v>
      </c>
      <c r="AQ74" t="n">
        <v>6803624.22717512</v>
      </c>
      <c r="AR74" t="n">
        <v>19466884.3415709</v>
      </c>
      <c r="AS74" t="n">
        <v>248660255.726001</v>
      </c>
      <c r="AT74" t="n">
        <v>49537343.6548041</v>
      </c>
      <c r="AU74" t="n">
        <v>74507484.8312551</v>
      </c>
      <c r="AV74" t="n">
        <v>41785641.025641</v>
      </c>
      <c r="AW74" t="n">
        <v>86498.3379927078</v>
      </c>
      <c r="AX74" t="n">
        <v>405900092.468363</v>
      </c>
      <c r="AY74" t="n">
        <v>21152528.4854692</v>
      </c>
      <c r="AZ74" t="n">
        <v>30463824.8299965</v>
      </c>
      <c r="BA74" t="n">
        <v>104010475.209924</v>
      </c>
      <c r="BB74" t="n">
        <v>298123657.088288</v>
      </c>
      <c r="BC74" t="n">
        <v>172582249.212243</v>
      </c>
      <c r="BD74" t="n">
        <v>164843461.104294</v>
      </c>
      <c r="BE74" t="n">
        <v>8828324.61280788</v>
      </c>
      <c r="BF74" t="n">
        <v>23501293.1082326</v>
      </c>
      <c r="BG74" t="n">
        <v>530793858.438775</v>
      </c>
      <c r="BH74" t="n">
        <v>441422413.576343</v>
      </c>
      <c r="BI74" t="n">
        <v>233923577.62534</v>
      </c>
      <c r="BJ74" t="n">
        <v>89767783.0419866</v>
      </c>
      <c r="BK74" t="n">
        <v>7527311.41777395</v>
      </c>
      <c r="BL74" t="n">
        <v>21464227.2299109</v>
      </c>
      <c r="BM74" t="n">
        <v>100637748.959515</v>
      </c>
      <c r="BN74" t="n">
        <v>95921131.7429037</v>
      </c>
      <c r="BO74" t="n">
        <v>31424386.4363082</v>
      </c>
      <c r="BP74" t="n">
        <v>4816601.20686801</v>
      </c>
      <c r="BQ74" t="n">
        <v>3078329.61747697</v>
      </c>
      <c r="BR74" t="n">
        <v>2597012.87678349</v>
      </c>
      <c r="BS74" t="n">
        <v>224866786.236475</v>
      </c>
      <c r="BT74" t="n">
        <v>6638746.9435437</v>
      </c>
      <c r="BU74" t="n">
        <v>11896802948.711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42107222.5463813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11456093.0806276</v>
      </c>
      <c r="C75" t="n">
        <v>284689.445214956</v>
      </c>
      <c r="D75" t="n">
        <v>11988.8931688441</v>
      </c>
      <c r="E75" t="n">
        <v>4656755.76593403</v>
      </c>
      <c r="F75" t="n">
        <v>102172.703088475</v>
      </c>
      <c r="G75" t="n">
        <v>17852919.6229659</v>
      </c>
      <c r="H75" t="n">
        <v>119284184.879594</v>
      </c>
      <c r="I75" t="n">
        <v>12764476.048591</v>
      </c>
      <c r="J75" t="n">
        <v>20718619.0947103</v>
      </c>
      <c r="K75" t="n">
        <v>14609192.5293287</v>
      </c>
      <c r="L75" t="n">
        <v>49561362.3148186</v>
      </c>
      <c r="M75" t="n">
        <v>30453673.6055412</v>
      </c>
      <c r="N75" t="n">
        <v>17961232.4817477</v>
      </c>
      <c r="O75" t="n">
        <v>3494223.3239023</v>
      </c>
      <c r="P75" t="n">
        <v>5404896.63770741</v>
      </c>
      <c r="Q75" t="n">
        <v>3573864.05786211</v>
      </c>
      <c r="R75" t="n">
        <v>4453386.04108355</v>
      </c>
      <c r="S75" t="n">
        <v>24803359.4529594</v>
      </c>
      <c r="T75" t="n">
        <v>45306883.3122643</v>
      </c>
      <c r="U75" t="n">
        <v>1042198.79825872</v>
      </c>
      <c r="V75" t="n">
        <v>121316.998881739</v>
      </c>
      <c r="W75" t="n">
        <v>31072154.0608061</v>
      </c>
      <c r="X75" t="n">
        <v>20776344.0835437</v>
      </c>
      <c r="Y75" t="n">
        <v>23300280.6154849</v>
      </c>
      <c r="Z75" t="n">
        <v>18117317.8112614</v>
      </c>
      <c r="AA75" t="n">
        <v>19596111.4161976</v>
      </c>
      <c r="AB75" t="n">
        <v>410702994.865675</v>
      </c>
      <c r="AC75" t="n">
        <v>37249025.0260614</v>
      </c>
      <c r="AD75" t="n">
        <v>41847705.3491997</v>
      </c>
      <c r="AE75" t="n">
        <v>45657957.2674637</v>
      </c>
      <c r="AF75" t="n">
        <v>97919378.661506</v>
      </c>
      <c r="AG75" t="n">
        <v>12057580.1120096</v>
      </c>
      <c r="AH75" t="n">
        <v>3113332.53338766</v>
      </c>
      <c r="AI75" t="n">
        <v>6625814.5315816</v>
      </c>
      <c r="AJ75" t="n">
        <v>137755057.111895</v>
      </c>
      <c r="AK75" t="n">
        <v>40679246.8269321</v>
      </c>
      <c r="AL75" t="n">
        <v>5125734.53494923</v>
      </c>
      <c r="AM75" t="n">
        <v>30644407.9986984</v>
      </c>
      <c r="AN75" t="n">
        <v>8822010.21918933</v>
      </c>
      <c r="AO75" t="n">
        <v>20428860.6124838</v>
      </c>
      <c r="AP75" t="n">
        <v>1060474.44714173</v>
      </c>
      <c r="AQ75" t="n">
        <v>40312041.4757578</v>
      </c>
      <c r="AR75" t="n">
        <v>16854079.7240742</v>
      </c>
      <c r="AS75" t="n">
        <v>109469048.884025</v>
      </c>
      <c r="AT75" t="n">
        <v>56610553.0408643</v>
      </c>
      <c r="AU75" t="n">
        <v>140801759.796302</v>
      </c>
      <c r="AV75" t="n">
        <v>7423574.34489981</v>
      </c>
      <c r="AW75" t="n">
        <v>394164264.992589</v>
      </c>
      <c r="AX75" t="n">
        <v>63075695.1259499</v>
      </c>
      <c r="AY75" t="n">
        <v>47142042.2012437</v>
      </c>
      <c r="AZ75" t="n">
        <v>13685582.4392437</v>
      </c>
      <c r="BA75" t="n">
        <v>37024406.9941389</v>
      </c>
      <c r="BB75" t="n">
        <v>144605636.482746</v>
      </c>
      <c r="BC75" t="n">
        <v>253606372.516177</v>
      </c>
      <c r="BD75" t="n">
        <v>202125851.409434</v>
      </c>
      <c r="BE75" t="n">
        <v>70628435.8092674</v>
      </c>
      <c r="BF75" t="n">
        <v>36500962.2746893</v>
      </c>
      <c r="BG75" t="n">
        <v>116024375.618731</v>
      </c>
      <c r="BH75" t="n">
        <v>253020039.531398</v>
      </c>
      <c r="BI75" t="n">
        <v>44357797.7075207</v>
      </c>
      <c r="BJ75" t="n">
        <v>19263769.2993695</v>
      </c>
      <c r="BK75" t="n">
        <v>10986859.5496905</v>
      </c>
      <c r="BL75" t="n">
        <v>22476834.2997064</v>
      </c>
      <c r="BM75" t="n">
        <v>22784133.5419359</v>
      </c>
      <c r="BN75" t="n">
        <v>136224728.509283</v>
      </c>
      <c r="BO75" t="n">
        <v>110934627.451771</v>
      </c>
      <c r="BP75" t="n">
        <v>19313466.6707609</v>
      </c>
      <c r="BQ75" t="n">
        <v>86440766.9181079</v>
      </c>
      <c r="BR75" t="n">
        <v>5568533.69168378</v>
      </c>
      <c r="BS75" t="n">
        <v>449528452.290571</v>
      </c>
      <c r="BT75" t="n">
        <v>31628613.3997554</v>
      </c>
      <c r="BU75" t="n">
        <v>12375129418.913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1429013.01518171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8183758539.26677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2544799896.8509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75953.9984702995</v>
      </c>
      <c r="C78" t="n">
        <v>2470.05327491561</v>
      </c>
      <c r="D78" t="n">
        <v>0</v>
      </c>
      <c r="E78" t="n">
        <v>23376.2798852333</v>
      </c>
      <c r="F78" t="n">
        <v>0</v>
      </c>
      <c r="G78" t="n">
        <v>1007372.04969957</v>
      </c>
      <c r="H78" t="n">
        <v>33475.3524229892</v>
      </c>
      <c r="I78" t="n">
        <v>0</v>
      </c>
      <c r="J78" t="n">
        <v>0</v>
      </c>
      <c r="K78" t="n">
        <v>92643.3409912279</v>
      </c>
      <c r="L78" t="n">
        <v>778698.04714325</v>
      </c>
      <c r="M78" t="n">
        <v>1731637.50466636</v>
      </c>
      <c r="N78" t="n">
        <v>442547.339483585</v>
      </c>
      <c r="O78" t="n">
        <v>638655.024312516</v>
      </c>
      <c r="P78" t="n">
        <v>0</v>
      </c>
      <c r="Q78" t="n">
        <v>0</v>
      </c>
      <c r="R78" t="n">
        <v>0</v>
      </c>
      <c r="S78" t="n">
        <v>214759.690534437</v>
      </c>
      <c r="T78" t="n">
        <v>0</v>
      </c>
      <c r="U78" t="n">
        <v>3590.37965065992</v>
      </c>
      <c r="V78" t="n">
        <v>0</v>
      </c>
      <c r="W78" t="n">
        <v>0</v>
      </c>
      <c r="X78" t="n">
        <v>609972.577650131</v>
      </c>
      <c r="Y78" t="n">
        <v>221783.20171791</v>
      </c>
      <c r="Z78" t="n">
        <v>107917.582551962</v>
      </c>
      <c r="AA78" t="n">
        <v>0</v>
      </c>
      <c r="AB78" t="n">
        <v>91517022.7738275</v>
      </c>
      <c r="AC78" t="n">
        <v>3060108.13422897</v>
      </c>
      <c r="AD78" t="n">
        <v>2451846.05564804</v>
      </c>
      <c r="AE78" t="n">
        <v>1489945.54662699</v>
      </c>
      <c r="AF78" t="n">
        <v>14394315.0865556</v>
      </c>
      <c r="AG78" t="n">
        <v>16171.445530143</v>
      </c>
      <c r="AH78" t="n">
        <v>0</v>
      </c>
      <c r="AI78" t="n">
        <v>9460981.46008148</v>
      </c>
      <c r="AJ78" t="n">
        <v>14511512.3256892</v>
      </c>
      <c r="AK78" t="n">
        <v>1474937.16933143</v>
      </c>
      <c r="AL78" t="n">
        <v>212254.87930097</v>
      </c>
      <c r="AM78" t="n">
        <v>2555585.2056468</v>
      </c>
      <c r="AN78" t="n">
        <v>1395952.89228876</v>
      </c>
      <c r="AO78" t="n">
        <v>1526033.32950266</v>
      </c>
      <c r="AP78" t="n">
        <v>276030.083849676</v>
      </c>
      <c r="AQ78" t="n">
        <v>358176.604318871</v>
      </c>
      <c r="AR78" t="n">
        <v>2501359.96116784</v>
      </c>
      <c r="AS78" t="n">
        <v>7878859.49691627</v>
      </c>
      <c r="AT78" t="n">
        <v>9258275.84002175</v>
      </c>
      <c r="AU78" t="n">
        <v>446218.47157524</v>
      </c>
      <c r="AV78" t="n">
        <v>0</v>
      </c>
      <c r="AW78" t="n">
        <v>0</v>
      </c>
      <c r="AX78" t="n">
        <v>1303648.12179461</v>
      </c>
      <c r="AY78" t="n">
        <v>1982778.87203918</v>
      </c>
      <c r="AZ78" t="n">
        <v>901784.643057873</v>
      </c>
      <c r="BA78" t="n">
        <v>1590990.10768535</v>
      </c>
      <c r="BB78" t="n">
        <v>8329948.56898786</v>
      </c>
      <c r="BC78" t="n">
        <v>1840415.63125117</v>
      </c>
      <c r="BD78" t="n">
        <v>3577166.41071609</v>
      </c>
      <c r="BE78" t="n">
        <v>473846.564763274</v>
      </c>
      <c r="BF78" t="n">
        <v>1709495.36810905</v>
      </c>
      <c r="BG78" t="n">
        <v>5143816.33842826</v>
      </c>
      <c r="BH78" t="n">
        <v>15850544.6726441</v>
      </c>
      <c r="BI78" t="n">
        <v>1778867.54674513</v>
      </c>
      <c r="BJ78" t="n">
        <v>2756313.924599</v>
      </c>
      <c r="BK78" t="n">
        <v>456152.063381155</v>
      </c>
      <c r="BL78" t="n">
        <v>275712.183113829</v>
      </c>
      <c r="BM78" t="n">
        <v>1933337.08460447</v>
      </c>
      <c r="BN78" t="n">
        <v>19965965.1124841</v>
      </c>
      <c r="BO78" t="n">
        <v>2013067.80308005</v>
      </c>
      <c r="BP78" t="n">
        <v>986.563179064534</v>
      </c>
      <c r="BQ78" t="n">
        <v>203146.479508596</v>
      </c>
      <c r="BR78" t="n">
        <v>152593.278661964</v>
      </c>
      <c r="BS78" t="n">
        <v>8771845.71742553</v>
      </c>
      <c r="BT78" t="n">
        <v>248263.133609792</v>
      </c>
      <c r="BU78" t="n">
        <v>29001192.8220226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7271310.45718565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35293272545.3496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10334874.6667889</v>
      </c>
      <c r="H80" t="n">
        <v>0</v>
      </c>
      <c r="I80" t="n">
        <v>2330189.55031232</v>
      </c>
      <c r="J80" t="n">
        <v>3542552.9891463</v>
      </c>
      <c r="K80" t="n">
        <v>2384508.17060222</v>
      </c>
      <c r="L80" t="n">
        <v>7819893.05884789</v>
      </c>
      <c r="M80" t="n">
        <v>6870423.06025421</v>
      </c>
      <c r="N80" t="n">
        <v>1975590.13735481</v>
      </c>
      <c r="O80" t="n">
        <v>911466.240542665</v>
      </c>
      <c r="P80" t="n">
        <v>928731.723908364</v>
      </c>
      <c r="Q80" t="n">
        <v>1183032.09670865</v>
      </c>
      <c r="R80" t="n">
        <v>1360469.32561587</v>
      </c>
      <c r="S80" t="n">
        <v>5110614.64706801</v>
      </c>
      <c r="T80" t="n">
        <v>21276019.752127</v>
      </c>
      <c r="U80" t="n">
        <v>446492.389110812</v>
      </c>
      <c r="V80" t="n">
        <v>29088.2628059995</v>
      </c>
      <c r="W80" t="n">
        <v>5884024.81025747</v>
      </c>
      <c r="X80" t="n">
        <v>3043563.30711775</v>
      </c>
      <c r="Y80" t="n">
        <v>7661253.53140069</v>
      </c>
      <c r="Z80" t="n">
        <v>10886261.2837634</v>
      </c>
      <c r="AA80" t="n">
        <v>4034244.8791947</v>
      </c>
      <c r="AB80" t="n">
        <v>32237112.0426408</v>
      </c>
      <c r="AC80" t="n">
        <v>8317128.8769628</v>
      </c>
      <c r="AD80" t="n">
        <v>5627407.78521239</v>
      </c>
      <c r="AE80" t="n">
        <v>3355940.35965134</v>
      </c>
      <c r="AF80" t="n">
        <v>12518144.0352747</v>
      </c>
      <c r="AG80" t="n">
        <v>198622.066900962</v>
      </c>
      <c r="AH80" t="n">
        <v>0</v>
      </c>
      <c r="AI80" t="n">
        <v>0</v>
      </c>
      <c r="AJ80" t="n">
        <v>8544264.72822467</v>
      </c>
      <c r="AK80" t="n">
        <v>132553.003533569</v>
      </c>
      <c r="AL80" t="n">
        <v>851921.14934848</v>
      </c>
      <c r="AM80" t="n">
        <v>1286196.38504857</v>
      </c>
      <c r="AN80" t="n">
        <v>1738282.6768434</v>
      </c>
      <c r="AO80" t="n">
        <v>973746.980772519</v>
      </c>
      <c r="AP80" t="n">
        <v>250739.172172343</v>
      </c>
      <c r="AQ80" t="n">
        <v>864674.650945334</v>
      </c>
      <c r="AR80" t="n">
        <v>804153.504498431</v>
      </c>
      <c r="AS80" t="n">
        <v>10587487.4508336</v>
      </c>
      <c r="AT80" t="n">
        <v>3122576.42547396</v>
      </c>
      <c r="AU80" t="n">
        <v>1748114.73605354</v>
      </c>
      <c r="AV80" t="n">
        <v>0</v>
      </c>
      <c r="AW80" t="n">
        <v>0</v>
      </c>
      <c r="AX80" t="n">
        <v>31869558.2806328</v>
      </c>
      <c r="AY80" t="n">
        <v>8157613.9522014</v>
      </c>
      <c r="AZ80" t="n">
        <v>6887987.56466683</v>
      </c>
      <c r="BA80" t="n">
        <v>3680072.67968074</v>
      </c>
      <c r="BB80" t="n">
        <v>19847572.2188076</v>
      </c>
      <c r="BC80" t="n">
        <v>19184067.3402666</v>
      </c>
      <c r="BD80" t="n">
        <v>19602092.7607362</v>
      </c>
      <c r="BE80" t="n">
        <v>15589049.037486</v>
      </c>
      <c r="BF80" t="n">
        <v>1886091.03925943</v>
      </c>
      <c r="BG80" t="n">
        <v>16305819.0131074</v>
      </c>
      <c r="BH80" t="n">
        <v>20749570.6437677</v>
      </c>
      <c r="BI80" t="n">
        <v>16819247.4528397</v>
      </c>
      <c r="BJ80" t="n">
        <v>5823697.10831563</v>
      </c>
      <c r="BK80" t="n">
        <v>1613989.13948573</v>
      </c>
      <c r="BL80" t="n">
        <v>4057451.32340307</v>
      </c>
      <c r="BM80" t="n">
        <v>9286788.01812574</v>
      </c>
      <c r="BN80" t="n">
        <v>22919602.3109784</v>
      </c>
      <c r="BO80" t="n">
        <v>24206960.5578156</v>
      </c>
      <c r="BP80" t="n">
        <v>6316109.12976088</v>
      </c>
      <c r="BQ80" t="n">
        <v>8018627.60540354</v>
      </c>
      <c r="BR80" t="n">
        <v>2074181.90158945</v>
      </c>
      <c r="BS80" t="n">
        <v>125903773.107944</v>
      </c>
      <c r="BT80" t="n">
        <v>21981135.3649106</v>
      </c>
      <c r="BU80" t="n">
        <v>1880618147.1819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-524749.245657222</v>
      </c>
      <c r="C81" t="n">
        <v>1410710.59445929</v>
      </c>
      <c r="D81" t="n">
        <v>0</v>
      </c>
      <c r="E81" t="n">
        <v>0</v>
      </c>
      <c r="F81" t="n">
        <v>190036.245183328</v>
      </c>
      <c r="G81" t="n">
        <v>80601972.2797216</v>
      </c>
      <c r="H81" t="n">
        <v>53385690.2552995</v>
      </c>
      <c r="I81" t="n">
        <v>0</v>
      </c>
      <c r="J81" t="n">
        <v>-40718.9998752449</v>
      </c>
      <c r="K81" t="n">
        <v>260953044.164905</v>
      </c>
      <c r="L81" t="n">
        <v>15081222.3277781</v>
      </c>
      <c r="M81" t="n">
        <v>179228.427658805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5165567.49273541</v>
      </c>
      <c r="T81" t="n">
        <v>-20899.8229392211</v>
      </c>
      <c r="U81" t="n">
        <v>-8268.37757612616</v>
      </c>
      <c r="V81" t="n">
        <v>0</v>
      </c>
      <c r="W81" t="n">
        <v>-1229107.40480933</v>
      </c>
      <c r="X81" t="n">
        <v>0</v>
      </c>
      <c r="Y81" t="n">
        <v>0</v>
      </c>
      <c r="Z81" t="n">
        <v>-8148.39916449349</v>
      </c>
      <c r="AA81" t="n">
        <v>-20688.4352779215</v>
      </c>
      <c r="AB81" t="n">
        <v>0</v>
      </c>
      <c r="AC81" t="n">
        <v>-232521.882581756</v>
      </c>
      <c r="AD81" t="n">
        <v>0</v>
      </c>
      <c r="AE81" t="n">
        <v>0</v>
      </c>
      <c r="AF81" t="n">
        <v>3490188.85741859</v>
      </c>
      <c r="AG81" t="n">
        <v>-6355906.14083079</v>
      </c>
      <c r="AH81" t="n">
        <v>0</v>
      </c>
      <c r="AI81" t="n">
        <v>-2900831.23912623</v>
      </c>
      <c r="AJ81" t="n">
        <v>6618219.44176635</v>
      </c>
      <c r="AK81" t="n">
        <v>66276.5017667845</v>
      </c>
      <c r="AL81" t="n">
        <v>1634012.69629135</v>
      </c>
      <c r="AM81" t="n">
        <v>19825612.9654962</v>
      </c>
      <c r="AN81" t="n">
        <v>0</v>
      </c>
      <c r="AO81" t="n">
        <v>0</v>
      </c>
      <c r="AP81" t="n">
        <v>444973.742165003</v>
      </c>
      <c r="AQ81" t="n">
        <v>11377.2980387544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67015.4992339174</v>
      </c>
      <c r="AZ81" t="n">
        <v>0</v>
      </c>
      <c r="BA81" t="n">
        <v>0</v>
      </c>
      <c r="BB81" t="n">
        <v>0</v>
      </c>
      <c r="BC81" t="n">
        <v>8290788.79240203</v>
      </c>
      <c r="BD81" t="n">
        <v>0</v>
      </c>
      <c r="BE81" t="n">
        <v>0</v>
      </c>
      <c r="BF81" t="n">
        <v>3667399.24300445</v>
      </c>
      <c r="BG81" t="n">
        <v>0</v>
      </c>
      <c r="BH81" t="n">
        <v>0</v>
      </c>
      <c r="BI81" t="n">
        <v>0</v>
      </c>
      <c r="BJ81" t="n">
        <v>0</v>
      </c>
      <c r="BK81" t="n">
        <v>-1975745.32592218</v>
      </c>
      <c r="BL81" t="n">
        <v>8037470.36964195</v>
      </c>
      <c r="BM81" t="n">
        <v>0</v>
      </c>
      <c r="BN81" t="n">
        <v>0</v>
      </c>
      <c r="BO81" t="n">
        <v>484425049.804965</v>
      </c>
      <c r="BP81" t="n">
        <v>-354429.145411042</v>
      </c>
      <c r="BQ81" t="n">
        <v>0</v>
      </c>
      <c r="BR81" t="n">
        <v>0</v>
      </c>
      <c r="BS81" t="n">
        <v>0</v>
      </c>
      <c r="BT81" t="n">
        <v>0</v>
      </c>
      <c r="BU81" t="n">
        <v>1289621169.7601</v>
      </c>
      <c r="BV81" t="n">
        <v>-76478741.5928567</v>
      </c>
      <c r="BW81" t="n">
        <v>-3330204905.76482</v>
      </c>
      <c r="BX81" t="n">
        <v>0</v>
      </c>
      <c r="BY81" t="n">
        <v>-16549304.4655722</v>
      </c>
      <c r="BZ81" t="n">
        <v>62706998.6512764</v>
      </c>
      <c r="CA81" t="n">
        <v>638335474.764608</v>
      </c>
      <c r="CB81" t="n">
        <v>0</v>
      </c>
      <c r="CC81" t="n">
        <v>0</v>
      </c>
      <c r="CD81" t="n">
        <v>-101262.815746914</v>
      </c>
      <c r="CE81" t="n">
        <v>0</v>
      </c>
      <c r="CF81" t="n">
        <v>0</v>
      </c>
      <c r="CG81" t="n">
        <v>0</v>
      </c>
      <c r="CH81" t="n">
        <v>-13999584.2770108</v>
      </c>
      <c r="CI81" t="n">
        <v>835418.22991204</v>
      </c>
      <c r="CJ81" t="n">
        <v>0</v>
      </c>
      <c r="CK81" t="n">
        <v>0</v>
      </c>
      <c r="CL81" t="n">
        <v>87903016.6929957</v>
      </c>
      <c r="CM81" t="n">
        <v>-365087673.230014</v>
      </c>
      <c r="CN81" t="n">
        <v>0</v>
      </c>
    </row>
    <row r="82">
      <c r="A82" t="s">
        <v>193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-3548093903.90955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1938531299.09212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225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1456571630.19153</v>
      </c>
      <c r="C10" t="n">
        <v>1798497.02614317</v>
      </c>
      <c r="D10" t="n">
        <v>0</v>
      </c>
      <c r="E10" t="n">
        <v>455263.625688436</v>
      </c>
      <c r="F10" t="n">
        <v>2021.00643835829</v>
      </c>
      <c r="G10" t="n">
        <v>0</v>
      </c>
      <c r="H10" t="n">
        <v>17136716.6154591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9419509.67428293</v>
      </c>
      <c r="T10" t="n">
        <v>2769597030.65034</v>
      </c>
      <c r="U10" t="n">
        <v>7999109.82091438</v>
      </c>
      <c r="V10" t="n">
        <v>0</v>
      </c>
      <c r="W10" t="n">
        <v>0</v>
      </c>
      <c r="X10" t="n">
        <v>0</v>
      </c>
      <c r="Y10" t="n">
        <v>0</v>
      </c>
      <c r="Z10" t="n">
        <v>66846945.9982648</v>
      </c>
      <c r="AA10" t="n">
        <v>0</v>
      </c>
      <c r="AB10" t="n">
        <v>9783893.98628447</v>
      </c>
      <c r="AC10" t="n">
        <v>6979091.26690671</v>
      </c>
      <c r="AD10" t="n">
        <v>9871679.7024764</v>
      </c>
      <c r="AE10" t="n">
        <v>1814356.67210443</v>
      </c>
      <c r="AF10" t="n">
        <v>3696796.87111611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271444.139532903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11734.8082692034</v>
      </c>
      <c r="AT10" t="n">
        <v>0</v>
      </c>
      <c r="AU10" t="n">
        <v>0</v>
      </c>
      <c r="AV10" t="n">
        <v>0</v>
      </c>
      <c r="AW10" t="n">
        <v>0</v>
      </c>
      <c r="AX10" t="n">
        <v>30326.2504947078</v>
      </c>
      <c r="AY10" t="n">
        <v>0</v>
      </c>
      <c r="AZ10" t="n">
        <v>8928.65473890382</v>
      </c>
      <c r="BA10" t="n">
        <v>0</v>
      </c>
      <c r="BB10" t="n">
        <v>10477217.2903882</v>
      </c>
      <c r="BC10" t="n">
        <v>508795.88537869</v>
      </c>
      <c r="BD10" t="n">
        <v>15709860.0056664</v>
      </c>
      <c r="BE10" t="n">
        <v>0</v>
      </c>
      <c r="BF10" t="n">
        <v>1691036.27062625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5261298.94946221</v>
      </c>
      <c r="BM10" t="n">
        <v>346621.345965528</v>
      </c>
      <c r="BN10" t="n">
        <v>54922521.2619793</v>
      </c>
      <c r="BO10" t="n">
        <v>172300.903370774</v>
      </c>
      <c r="BP10" t="n">
        <v>52912.8750611611</v>
      </c>
      <c r="BQ10" t="n">
        <v>-1569483.61037689</v>
      </c>
      <c r="BR10" t="n">
        <v>0</v>
      </c>
      <c r="BS10" t="n">
        <v>42781270.7465004</v>
      </c>
      <c r="BT10" t="n">
        <v>0</v>
      </c>
      <c r="BU10" t="n">
        <v>893509018.03655</v>
      </c>
      <c r="BV10" t="n">
        <v>0</v>
      </c>
      <c r="BW10" t="n">
        <v>0</v>
      </c>
      <c r="BX10" t="n">
        <v>0</v>
      </c>
      <c r="BY10" t="n">
        <v>0</v>
      </c>
      <c r="BZ10" t="n">
        <v>-395677093.999545</v>
      </c>
      <c r="CA10" t="n">
        <v>320195031.450677</v>
      </c>
      <c r="CB10" t="n">
        <v>-777029169.901818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348675697.43235</v>
      </c>
      <c r="C11" t="n">
        <v>26855702.1919568</v>
      </c>
      <c r="D11" t="n">
        <v>0</v>
      </c>
      <c r="E11" t="n">
        <v>1523980.91168091</v>
      </c>
      <c r="F11" t="n">
        <v>0</v>
      </c>
      <c r="G11" t="n">
        <v>0</v>
      </c>
      <c r="H11" t="n">
        <v>0</v>
      </c>
      <c r="I11" t="n">
        <v>193208328.970703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1933038.73643969</v>
      </c>
      <c r="S11" t="n">
        <v>10406194.3283139</v>
      </c>
      <c r="T11" t="n">
        <v>153144229.033999</v>
      </c>
      <c r="U11" t="n">
        <v>0</v>
      </c>
      <c r="V11" t="n">
        <v>529619.663168048</v>
      </c>
      <c r="W11" t="n">
        <v>34899167.6714572</v>
      </c>
      <c r="X11" t="n">
        <v>1020707.3907471</v>
      </c>
      <c r="Y11" t="n">
        <v>0</v>
      </c>
      <c r="Z11" t="n">
        <v>2172840.55039419</v>
      </c>
      <c r="AA11" t="n">
        <v>28145864.142871</v>
      </c>
      <c r="AB11" t="n">
        <v>0</v>
      </c>
      <c r="AC11" t="n">
        <v>0</v>
      </c>
      <c r="AD11" t="n">
        <v>10793903.0386882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12991.8826772583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2827311.94141328</v>
      </c>
      <c r="BC11" t="n">
        <v>398988.490963363</v>
      </c>
      <c r="BD11" t="n">
        <v>28163.9263803681</v>
      </c>
      <c r="BE11" t="n">
        <v>0</v>
      </c>
      <c r="BF11" t="n">
        <v>679810.65729986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3008149.74279905</v>
      </c>
      <c r="BM11" t="n">
        <v>3972346.03543077</v>
      </c>
      <c r="BN11" t="n">
        <v>69083727.5807476</v>
      </c>
      <c r="BO11" t="n">
        <v>1329411.23269116</v>
      </c>
      <c r="BP11" t="n">
        <v>0</v>
      </c>
      <c r="BQ11" t="n">
        <v>205389.593626776</v>
      </c>
      <c r="BR11" t="n">
        <v>115603.97551646</v>
      </c>
      <c r="BS11" t="n">
        <v>47050086.9230513</v>
      </c>
      <c r="BT11" t="n">
        <v>0</v>
      </c>
      <c r="BU11" t="n">
        <v>73796212.3689827</v>
      </c>
      <c r="BV11" t="n">
        <v>0</v>
      </c>
      <c r="BW11" t="n">
        <v>0</v>
      </c>
      <c r="BX11" t="n">
        <v>0</v>
      </c>
      <c r="BY11" t="n">
        <v>0</v>
      </c>
      <c r="BZ11" t="n">
        <v>13371740.7073025</v>
      </c>
      <c r="CA11" t="n">
        <v>31475611.7739881</v>
      </c>
      <c r="CB11" t="n">
        <v>-333503120.001454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318539.995999515</v>
      </c>
      <c r="E12" t="n">
        <v>0</v>
      </c>
      <c r="F12" t="n">
        <v>501.856281293999</v>
      </c>
      <c r="G12" t="n">
        <v>22864025.8025395</v>
      </c>
      <c r="H12" t="n">
        <v>0</v>
      </c>
      <c r="I12" t="n">
        <v>34778.9485121241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26151.2213789221</v>
      </c>
      <c r="X12" t="n">
        <v>0</v>
      </c>
      <c r="Y12" t="n">
        <v>2498344234.92746</v>
      </c>
      <c r="Z12" t="n">
        <v>1727460.62287263</v>
      </c>
      <c r="AA12" t="n">
        <v>0</v>
      </c>
      <c r="AB12" t="n">
        <v>21708.4929580072</v>
      </c>
      <c r="AC12" t="n">
        <v>17886.2986601351</v>
      </c>
      <c r="AD12" t="n">
        <v>0</v>
      </c>
      <c r="AE12" t="n">
        <v>0</v>
      </c>
      <c r="AF12" t="n">
        <v>31023.9009548319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13965.9204811226</v>
      </c>
      <c r="AM12" t="n">
        <v>0</v>
      </c>
      <c r="AN12" t="n">
        <v>251317.977374949</v>
      </c>
      <c r="AO12" t="n">
        <v>354089.811190007</v>
      </c>
      <c r="AP12" t="n">
        <v>0</v>
      </c>
      <c r="AQ12" t="n">
        <v>11377.2980387544</v>
      </c>
      <c r="AR12" t="n">
        <v>31847.6635444923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100408.18613936</v>
      </c>
      <c r="AY12" t="n">
        <v>0</v>
      </c>
      <c r="AZ12" t="n">
        <v>0</v>
      </c>
      <c r="BA12" t="n">
        <v>0</v>
      </c>
      <c r="BB12" t="n">
        <v>16402.9522469485</v>
      </c>
      <c r="BC12" t="n">
        <v>37178.425078036</v>
      </c>
      <c r="BD12" t="n">
        <v>0</v>
      </c>
      <c r="BE12" t="n">
        <v>16409.5253026169</v>
      </c>
      <c r="BF12" t="n">
        <v>1017890.40214001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123891.643462689</v>
      </c>
      <c r="BM12" t="n">
        <v>0</v>
      </c>
      <c r="BN12" t="n">
        <v>0</v>
      </c>
      <c r="BO12" t="n">
        <v>35729.8310816467</v>
      </c>
      <c r="BP12" t="n">
        <v>0</v>
      </c>
      <c r="BQ12" t="n">
        <v>0</v>
      </c>
      <c r="BR12" t="n">
        <v>805673.961774415</v>
      </c>
      <c r="BS12" t="n">
        <v>0</v>
      </c>
      <c r="BT12" t="n">
        <v>13588338.2255811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808638.045735548</v>
      </c>
      <c r="CA12" t="n">
        <v>12665155.612236</v>
      </c>
      <c r="CB12" t="n">
        <v>-2539911578.48152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23969301.2798865</v>
      </c>
      <c r="C13" t="n">
        <v>0</v>
      </c>
      <c r="D13" t="n">
        <v>7403.68695734278</v>
      </c>
      <c r="E13" t="n">
        <v>152373752.629521</v>
      </c>
      <c r="F13" t="n">
        <v>17294.0964929915</v>
      </c>
      <c r="G13" t="n">
        <v>58542615.0848146</v>
      </c>
      <c r="H13" t="n">
        <v>199919881.764981</v>
      </c>
      <c r="I13" t="n">
        <v>188155.601871183</v>
      </c>
      <c r="J13" t="n">
        <v>130458799.288897</v>
      </c>
      <c r="K13" t="n">
        <v>67948351.8320778</v>
      </c>
      <c r="L13" t="n">
        <v>9480733.24150999</v>
      </c>
      <c r="M13" t="n">
        <v>2153741.07348871</v>
      </c>
      <c r="N13" t="n">
        <v>157694.930976598</v>
      </c>
      <c r="O13" t="n">
        <v>1298791.82163048</v>
      </c>
      <c r="P13" t="n">
        <v>323836.109054523</v>
      </c>
      <c r="Q13" t="n">
        <v>416553.489726642</v>
      </c>
      <c r="R13" t="n">
        <v>254474.908490804</v>
      </c>
      <c r="S13" t="n">
        <v>4025382.59272456</v>
      </c>
      <c r="T13" t="n">
        <v>18135408.5762196</v>
      </c>
      <c r="U13" t="n">
        <v>209563.624169433</v>
      </c>
      <c r="V13" t="n">
        <v>0</v>
      </c>
      <c r="W13" t="n">
        <v>23339750.4412721</v>
      </c>
      <c r="X13" t="n">
        <v>0</v>
      </c>
      <c r="Y13" t="n">
        <v>39914934.177674</v>
      </c>
      <c r="Z13" t="n">
        <v>30796678.1234739</v>
      </c>
      <c r="AA13" t="n">
        <v>1664294.03140484</v>
      </c>
      <c r="AB13" t="n">
        <v>306416.773549215</v>
      </c>
      <c r="AC13" t="n">
        <v>0</v>
      </c>
      <c r="AD13" t="n">
        <v>0</v>
      </c>
      <c r="AE13" t="n">
        <v>0</v>
      </c>
      <c r="AF13" t="n">
        <v>26001.9900816061</v>
      </c>
      <c r="AG13" t="n">
        <v>0</v>
      </c>
      <c r="AH13" t="n">
        <v>2177774.8417322</v>
      </c>
      <c r="AI13" t="n">
        <v>0</v>
      </c>
      <c r="AJ13" t="n">
        <v>83138.1984469134</v>
      </c>
      <c r="AK13" t="n">
        <v>11204.95983682</v>
      </c>
      <c r="AL13" t="n">
        <v>0</v>
      </c>
      <c r="AM13" t="n">
        <v>8785.83025492839</v>
      </c>
      <c r="AN13" t="n">
        <v>14162.9273708812</v>
      </c>
      <c r="AO13" t="n">
        <v>203536.861853483</v>
      </c>
      <c r="AP13" t="n">
        <v>38211.5399057556</v>
      </c>
      <c r="AQ13" t="n">
        <v>2065009.72242824</v>
      </c>
      <c r="AR13" t="n">
        <v>3840200.9645704</v>
      </c>
      <c r="AS13" t="n">
        <v>0</v>
      </c>
      <c r="AT13" t="n">
        <v>0</v>
      </c>
      <c r="AU13" t="n">
        <v>0</v>
      </c>
      <c r="AV13" t="n">
        <v>0</v>
      </c>
      <c r="AW13" t="n">
        <v>58494.9644186388</v>
      </c>
      <c r="AX13" t="n">
        <v>0</v>
      </c>
      <c r="AY13" t="n">
        <v>0</v>
      </c>
      <c r="AZ13" t="n">
        <v>0</v>
      </c>
      <c r="BA13" t="n">
        <v>0</v>
      </c>
      <c r="BB13" t="n">
        <v>14569890.1654014</v>
      </c>
      <c r="BC13" t="n">
        <v>791441.698528707</v>
      </c>
      <c r="BD13" t="n">
        <v>7886769.89897698</v>
      </c>
      <c r="BE13" t="n">
        <v>526872.877142689</v>
      </c>
      <c r="BF13" t="n">
        <v>3951466.04252788</v>
      </c>
      <c r="BG13" t="n">
        <v>0</v>
      </c>
      <c r="BH13" t="n">
        <v>273350.811007283</v>
      </c>
      <c r="BI13" t="n">
        <v>616349.670368464</v>
      </c>
      <c r="BJ13" t="n">
        <v>2206686.20601666</v>
      </c>
      <c r="BK13" t="n">
        <v>2356007.45191034</v>
      </c>
      <c r="BL13" t="n">
        <v>6563771.71742083</v>
      </c>
      <c r="BM13" t="n">
        <v>1056814.55747386</v>
      </c>
      <c r="BN13" t="n">
        <v>6773870.12786672</v>
      </c>
      <c r="BO13" t="n">
        <v>13616207.5628813</v>
      </c>
      <c r="BP13" t="n">
        <v>0</v>
      </c>
      <c r="BQ13" t="n">
        <v>13694729.7220014</v>
      </c>
      <c r="BR13" t="n">
        <v>0</v>
      </c>
      <c r="BS13" t="n">
        <v>30960024.7512451</v>
      </c>
      <c r="BT13" t="n">
        <v>35222265.2029707</v>
      </c>
      <c r="BU13" t="n">
        <v>2263957.0616399</v>
      </c>
      <c r="BV13" t="n">
        <v>0</v>
      </c>
      <c r="BW13" t="n">
        <v>1236669.57601135</v>
      </c>
      <c r="BX13" t="n">
        <v>0</v>
      </c>
      <c r="BY13" t="n">
        <v>0</v>
      </c>
      <c r="BZ13" t="n">
        <v>22124648.5764389</v>
      </c>
      <c r="CA13" t="n">
        <v>616351455.589052</v>
      </c>
      <c r="CB13" t="n">
        <v>-92734048.4034412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2094130.47348483</v>
      </c>
      <c r="E14" t="n">
        <v>28017841.5787395</v>
      </c>
      <c r="F14" t="n">
        <v>421653.654560797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317959.078827333</v>
      </c>
      <c r="BC14" t="n">
        <v>74552.7134726355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174238280.231054</v>
      </c>
      <c r="BW14" t="n">
        <v>3016641.13522993</v>
      </c>
      <c r="BX14" t="n">
        <v>0</v>
      </c>
      <c r="BY14" t="n">
        <v>0</v>
      </c>
      <c r="BZ14" t="n">
        <v>-8901.89529361051</v>
      </c>
      <c r="CA14" t="n">
        <v>13538325.9685758</v>
      </c>
      <c r="CB14" t="n">
        <v>-1514114.2947909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67773386.2412347</v>
      </c>
      <c r="C15" t="n">
        <v>120311.427994664</v>
      </c>
      <c r="D15" t="n">
        <v>261013.848628553</v>
      </c>
      <c r="E15" t="n">
        <v>38519352.8045754</v>
      </c>
      <c r="F15" t="n">
        <v>32995.1530170163</v>
      </c>
      <c r="G15" t="n">
        <v>127135583.393472</v>
      </c>
      <c r="H15" t="n">
        <v>44331528.3490632</v>
      </c>
      <c r="I15" t="n">
        <v>15137850.6028357</v>
      </c>
      <c r="J15" t="n">
        <v>20302885.8762304</v>
      </c>
      <c r="K15" t="n">
        <v>15935103.7723756</v>
      </c>
      <c r="L15" t="n">
        <v>35784896.3144397</v>
      </c>
      <c r="M15" t="n">
        <v>19123337.3372568</v>
      </c>
      <c r="N15" t="n">
        <v>12480878.0584355</v>
      </c>
      <c r="O15" t="n">
        <v>4199539.58653576</v>
      </c>
      <c r="P15" t="n">
        <v>4837741.57422504</v>
      </c>
      <c r="Q15" t="n">
        <v>5597576.76608967</v>
      </c>
      <c r="R15" t="n">
        <v>4496528.3739034</v>
      </c>
      <c r="S15" t="n">
        <v>13361501.728279</v>
      </c>
      <c r="T15" t="n">
        <v>48270443.5211956</v>
      </c>
      <c r="U15" t="n">
        <v>1915024.20784526</v>
      </c>
      <c r="V15" t="n">
        <v>101373.338643124</v>
      </c>
      <c r="W15" t="n">
        <v>37962875.5736246</v>
      </c>
      <c r="X15" t="n">
        <v>18142049.1763308</v>
      </c>
      <c r="Y15" t="n">
        <v>31566993.6687057</v>
      </c>
      <c r="Z15" t="n">
        <v>29073561.2331188</v>
      </c>
      <c r="AA15" t="n">
        <v>26164203.8842117</v>
      </c>
      <c r="AB15" t="n">
        <v>84397217.4959082</v>
      </c>
      <c r="AC15" t="n">
        <v>20252394.805022</v>
      </c>
      <c r="AD15" t="n">
        <v>46424933.8898732</v>
      </c>
      <c r="AE15" t="n">
        <v>43772666.925511</v>
      </c>
      <c r="AF15" t="n">
        <v>66806595.0832643</v>
      </c>
      <c r="AG15" t="n">
        <v>8863308.91307158</v>
      </c>
      <c r="AH15" t="n">
        <v>489715.67138094</v>
      </c>
      <c r="AI15" t="n">
        <v>949880.008526522</v>
      </c>
      <c r="AJ15" t="n">
        <v>23455641.9201709</v>
      </c>
      <c r="AK15" t="n">
        <v>1948000.5218794</v>
      </c>
      <c r="AL15" t="n">
        <v>3200516.0865559</v>
      </c>
      <c r="AM15" t="n">
        <v>4956886.69979775</v>
      </c>
      <c r="AN15" t="n">
        <v>6820371.20780953</v>
      </c>
      <c r="AO15" t="n">
        <v>3892683.68748915</v>
      </c>
      <c r="AP15" t="n">
        <v>407693.38232443</v>
      </c>
      <c r="AQ15" t="n">
        <v>17857613.8076393</v>
      </c>
      <c r="AR15" t="n">
        <v>7761501.9946784</v>
      </c>
      <c r="AS15" t="n">
        <v>16634793.8942916</v>
      </c>
      <c r="AT15" t="n">
        <v>4678923.91331208</v>
      </c>
      <c r="AU15" t="n">
        <v>3805916.06868524</v>
      </c>
      <c r="AV15" t="n">
        <v>18672040.2979365</v>
      </c>
      <c r="AW15" t="n">
        <v>894786.963690851</v>
      </c>
      <c r="AX15" t="n">
        <v>92227350.1462717</v>
      </c>
      <c r="AY15" t="n">
        <v>2224640.60712815</v>
      </c>
      <c r="AZ15" t="n">
        <v>2520494.56918802</v>
      </c>
      <c r="BA15" t="n">
        <v>3555982.07752857</v>
      </c>
      <c r="BB15" t="n">
        <v>24969919.2763179</v>
      </c>
      <c r="BC15" t="n">
        <v>51352223.2302286</v>
      </c>
      <c r="BD15" t="n">
        <v>12000710.9268062</v>
      </c>
      <c r="BE15" t="n">
        <v>6172176.22968962</v>
      </c>
      <c r="BF15" t="n">
        <v>21337372.9847434</v>
      </c>
      <c r="BG15" t="n">
        <v>23856108.0910256</v>
      </c>
      <c r="BH15" t="n">
        <v>47655292.475226</v>
      </c>
      <c r="BI15" t="n">
        <v>29830967.2150268</v>
      </c>
      <c r="BJ15" t="n">
        <v>8145252.46804222</v>
      </c>
      <c r="BK15" t="n">
        <v>3924790.30458692</v>
      </c>
      <c r="BL15" t="n">
        <v>13608986.3811797</v>
      </c>
      <c r="BM15" t="n">
        <v>18296158.4679794</v>
      </c>
      <c r="BN15" t="n">
        <v>75715054.0375768</v>
      </c>
      <c r="BO15" t="n">
        <v>34399543.6753276</v>
      </c>
      <c r="BP15" t="n">
        <v>4665523.33819359</v>
      </c>
      <c r="BQ15" t="n">
        <v>3382605.96621071</v>
      </c>
      <c r="BR15" t="n">
        <v>6428590.52791734</v>
      </c>
      <c r="BS15" t="n">
        <v>108362468.145991</v>
      </c>
      <c r="BT15" t="n">
        <v>10459785.1689408</v>
      </c>
      <c r="BU15" t="n">
        <v>1214271697.46187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66600550.4457988</v>
      </c>
      <c r="CB15" t="n">
        <v>-35900362.3800952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44603685.8808639</v>
      </c>
      <c r="C16" t="n">
        <v>182027.173478618</v>
      </c>
      <c r="D16" t="n">
        <v>22049.3767420061</v>
      </c>
      <c r="E16" t="n">
        <v>125576394.20748</v>
      </c>
      <c r="F16" t="n">
        <v>462376.920498871</v>
      </c>
      <c r="G16" t="n">
        <v>96933419.2815355</v>
      </c>
      <c r="H16" t="n">
        <v>5434933.08736263</v>
      </c>
      <c r="I16" t="n">
        <v>10955368.7813191</v>
      </c>
      <c r="J16" t="n">
        <v>18099595.4445463</v>
      </c>
      <c r="K16" t="n">
        <v>13227745.3253407</v>
      </c>
      <c r="L16" t="n">
        <v>41157331.8886731</v>
      </c>
      <c r="M16" t="n">
        <v>27601177.859456</v>
      </c>
      <c r="N16" t="n">
        <v>17215856.9112348</v>
      </c>
      <c r="O16" t="n">
        <v>3583719.53667912</v>
      </c>
      <c r="P16" t="n">
        <v>5017563.59929714</v>
      </c>
      <c r="Q16" t="n">
        <v>3302007.307902</v>
      </c>
      <c r="R16" t="n">
        <v>3907731.0416626</v>
      </c>
      <c r="S16" t="n">
        <v>18574061.8355805</v>
      </c>
      <c r="T16" t="n">
        <v>43053635.2547954</v>
      </c>
      <c r="U16" t="n">
        <v>967400.176406759</v>
      </c>
      <c r="V16" t="n">
        <v>87264.7884179985</v>
      </c>
      <c r="W16" t="n">
        <v>28740192.2954354</v>
      </c>
      <c r="X16" t="n">
        <v>18788150.4150923</v>
      </c>
      <c r="Y16" t="n">
        <v>173390246.589676</v>
      </c>
      <c r="Z16" t="n">
        <v>17543503.4011546</v>
      </c>
      <c r="AA16" t="n">
        <v>17026582.2337294</v>
      </c>
      <c r="AB16" t="n">
        <v>84076993.2263621</v>
      </c>
      <c r="AC16" t="n">
        <v>24557888.0603654</v>
      </c>
      <c r="AD16" t="n">
        <v>19429766.069213</v>
      </c>
      <c r="AE16" t="n">
        <v>43196975.9114096</v>
      </c>
      <c r="AF16" t="n">
        <v>58619660.8541549</v>
      </c>
      <c r="AG16" t="n">
        <v>8069021.46785159</v>
      </c>
      <c r="AH16" t="n">
        <v>67238803.96657</v>
      </c>
      <c r="AI16" t="n">
        <v>1014498.35685289</v>
      </c>
      <c r="AJ16" t="n">
        <v>10921086.5710881</v>
      </c>
      <c r="AK16" t="n">
        <v>9444401.50176679</v>
      </c>
      <c r="AL16" t="n">
        <v>8023421.31640494</v>
      </c>
      <c r="AM16" t="n">
        <v>16395755.9387</v>
      </c>
      <c r="AN16" t="n">
        <v>9476782.0635137</v>
      </c>
      <c r="AO16" t="n">
        <v>2496333.16888955</v>
      </c>
      <c r="AP16" t="n">
        <v>257802.247444803</v>
      </c>
      <c r="AQ16" t="n">
        <v>27123478.5243905</v>
      </c>
      <c r="AR16" t="n">
        <v>7882296.72726184</v>
      </c>
      <c r="AS16" t="n">
        <v>117997061.974979</v>
      </c>
      <c r="AT16" t="n">
        <v>25022999.3190696</v>
      </c>
      <c r="AU16" t="n">
        <v>19016653.5476095</v>
      </c>
      <c r="AV16" t="n">
        <v>3473276.35327635</v>
      </c>
      <c r="AW16" t="n">
        <v>1517916084.26503</v>
      </c>
      <c r="AX16" t="n">
        <v>433130792.549357</v>
      </c>
      <c r="AY16" t="n">
        <v>5812071.47901429</v>
      </c>
      <c r="AZ16" t="n">
        <v>2882312.39293998</v>
      </c>
      <c r="BA16" t="n">
        <v>1307394.24146553</v>
      </c>
      <c r="BB16" t="n">
        <v>39481906.0584049</v>
      </c>
      <c r="BC16" t="n">
        <v>31713196.5915647</v>
      </c>
      <c r="BD16" t="n">
        <v>13673586.2576687</v>
      </c>
      <c r="BE16" t="n">
        <v>2412200.21948468</v>
      </c>
      <c r="BF16" t="n">
        <v>30147518.6751468</v>
      </c>
      <c r="BG16" t="n">
        <v>16590732.5173687</v>
      </c>
      <c r="BH16" t="n">
        <v>28788906.4559634</v>
      </c>
      <c r="BI16" t="n">
        <v>20714881.9731665</v>
      </c>
      <c r="BJ16" t="n">
        <v>14839462.5061265</v>
      </c>
      <c r="BK16" t="n">
        <v>3464511.17010298</v>
      </c>
      <c r="BL16" t="n">
        <v>9493197.18032855</v>
      </c>
      <c r="BM16" t="n">
        <v>34680710.865694</v>
      </c>
      <c r="BN16" t="n">
        <v>35796116.748473</v>
      </c>
      <c r="BO16" t="n">
        <v>69333737.2139353</v>
      </c>
      <c r="BP16" t="n">
        <v>45453265.9172648</v>
      </c>
      <c r="BQ16" t="n">
        <v>5043220.86267504</v>
      </c>
      <c r="BR16" t="n">
        <v>6085409.71127484</v>
      </c>
      <c r="BS16" t="n">
        <v>649356214.064355</v>
      </c>
      <c r="BT16" t="n">
        <v>644069469.358916</v>
      </c>
      <c r="BU16" t="n">
        <v>0</v>
      </c>
      <c r="BV16" t="n">
        <v>10150895035.6888</v>
      </c>
      <c r="BW16" t="n">
        <v>0</v>
      </c>
      <c r="BX16" t="n">
        <v>0</v>
      </c>
      <c r="BY16" t="n">
        <v>11132135462.4497</v>
      </c>
      <c r="BZ16" t="n">
        <v>0</v>
      </c>
      <c r="CA16" t="n">
        <v>2003653.71450194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65972506.9331469</v>
      </c>
      <c r="CI16" t="n">
        <v>0</v>
      </c>
      <c r="CJ16" t="n">
        <v>0</v>
      </c>
      <c r="CK16" t="n">
        <v>0</v>
      </c>
      <c r="CL16" t="n">
        <v>6626201060.50264</v>
      </c>
      <c r="CM16" t="n">
        <v>0</v>
      </c>
      <c r="CN16" t="n">
        <v>0</v>
      </c>
    </row>
    <row r="17">
      <c r="A17" t="s">
        <v>128</v>
      </c>
      <c r="B17" t="n">
        <v>10842009.3795468</v>
      </c>
      <c r="C17" t="n">
        <v>346717.37692604</v>
      </c>
      <c r="D17" t="n">
        <v>0</v>
      </c>
      <c r="E17" t="n">
        <v>3707972.56948836</v>
      </c>
      <c r="F17" t="n">
        <v>33953.5430241504</v>
      </c>
      <c r="G17" t="n">
        <v>53175.0837696487</v>
      </c>
      <c r="H17" t="n">
        <v>552479909.922733</v>
      </c>
      <c r="I17" t="n">
        <v>580851852.080376</v>
      </c>
      <c r="J17" t="n">
        <v>2459937.46466667</v>
      </c>
      <c r="K17" t="n">
        <v>3566392.74061936</v>
      </c>
      <c r="L17" t="n">
        <v>3820810.61805178</v>
      </c>
      <c r="M17" t="n">
        <v>16196433.6867894</v>
      </c>
      <c r="N17" t="n">
        <v>5856569.41260632</v>
      </c>
      <c r="O17" t="n">
        <v>8759519.1926194</v>
      </c>
      <c r="P17" t="n">
        <v>12180122.1374415</v>
      </c>
      <c r="Q17" t="n">
        <v>1013193.29002074</v>
      </c>
      <c r="R17" t="n">
        <v>122393299.821074</v>
      </c>
      <c r="S17" t="n">
        <v>43281820.267486</v>
      </c>
      <c r="T17" t="n">
        <v>5230250.46107096</v>
      </c>
      <c r="U17" t="n">
        <v>356721.003826532</v>
      </c>
      <c r="V17" t="n">
        <v>0</v>
      </c>
      <c r="W17" t="n">
        <v>72090030.4628406</v>
      </c>
      <c r="X17" t="n">
        <v>58530.0635984183</v>
      </c>
      <c r="Y17" t="n">
        <v>0</v>
      </c>
      <c r="Z17" t="n">
        <v>1431398.50498393</v>
      </c>
      <c r="AA17" t="n">
        <v>27114594.2858945</v>
      </c>
      <c r="AB17" t="n">
        <v>89914597.868603</v>
      </c>
      <c r="AC17" t="n">
        <v>1640424.46835976</v>
      </c>
      <c r="AD17" t="n">
        <v>7374333.35818327</v>
      </c>
      <c r="AE17" t="n">
        <v>2131091.26056789</v>
      </c>
      <c r="AF17" t="n">
        <v>9780134.28769187</v>
      </c>
      <c r="AG17" t="n">
        <v>0</v>
      </c>
      <c r="AH17" t="n">
        <v>42551331.8704639</v>
      </c>
      <c r="AI17" t="n">
        <v>0</v>
      </c>
      <c r="AJ17" t="n">
        <v>2310141.61695614</v>
      </c>
      <c r="AK17" t="n">
        <v>0</v>
      </c>
      <c r="AL17" t="n">
        <v>56417.7778321936</v>
      </c>
      <c r="AM17" t="n">
        <v>471418.395513962</v>
      </c>
      <c r="AN17" t="n">
        <v>924655.214924058</v>
      </c>
      <c r="AO17" t="n">
        <v>502749.967101558</v>
      </c>
      <c r="AP17" t="n">
        <v>188740.592241631</v>
      </c>
      <c r="AQ17" t="n">
        <v>5787056.75342419</v>
      </c>
      <c r="AR17" t="n">
        <v>6170849.04203816</v>
      </c>
      <c r="AS17" t="n">
        <v>3497395.33250157</v>
      </c>
      <c r="AT17" t="n">
        <v>64142.4510858058</v>
      </c>
      <c r="AU17" t="n">
        <v>0</v>
      </c>
      <c r="AV17" t="n">
        <v>0</v>
      </c>
      <c r="AW17" t="n">
        <v>276656.676618598</v>
      </c>
      <c r="AX17" t="n">
        <v>50175108.8423065</v>
      </c>
      <c r="AY17" t="n">
        <v>1807286.69744873</v>
      </c>
      <c r="AZ17" t="n">
        <v>143587.468121098</v>
      </c>
      <c r="BA17" t="n">
        <v>423499.68346928</v>
      </c>
      <c r="BB17" t="n">
        <v>9213748.50611672</v>
      </c>
      <c r="BC17" t="n">
        <v>118026.389274348</v>
      </c>
      <c r="BD17" t="n">
        <v>9662659.81180414</v>
      </c>
      <c r="BE17" t="n">
        <v>358925.019551995</v>
      </c>
      <c r="BF17" t="n">
        <v>380401.251705556</v>
      </c>
      <c r="BG17" t="n">
        <v>5837756.64320692</v>
      </c>
      <c r="BH17" t="n">
        <v>7793011.94046173</v>
      </c>
      <c r="BI17" t="n">
        <v>109438.726717297</v>
      </c>
      <c r="BJ17" t="n">
        <v>10164467.4141719</v>
      </c>
      <c r="BK17" t="n">
        <v>66918.1085923173</v>
      </c>
      <c r="BL17" t="n">
        <v>1685316.05915397</v>
      </c>
      <c r="BM17" t="n">
        <v>7648729.0545672</v>
      </c>
      <c r="BN17" t="n">
        <v>8586679.86543738</v>
      </c>
      <c r="BO17" t="n">
        <v>4619630.49026855</v>
      </c>
      <c r="BP17" t="n">
        <v>82512.465654242</v>
      </c>
      <c r="BQ17" t="n">
        <v>265697.727004709</v>
      </c>
      <c r="BR17" t="n">
        <v>19454.7756796215</v>
      </c>
      <c r="BS17" t="n">
        <v>31290401.3859157</v>
      </c>
      <c r="BT17" t="n">
        <v>2399345.58174016</v>
      </c>
      <c r="BU17" t="n">
        <v>41296482.2674457</v>
      </c>
      <c r="BV17" t="n">
        <v>4918721.29167191</v>
      </c>
      <c r="BW17" t="n">
        <v>0</v>
      </c>
      <c r="BX17" t="n">
        <v>0</v>
      </c>
      <c r="BY17" t="n">
        <v>62372689.3353882</v>
      </c>
      <c r="BZ17" t="n">
        <v>15656774.8157444</v>
      </c>
      <c r="CA17" t="n">
        <v>31713270.6510289</v>
      </c>
      <c r="CB17" t="n">
        <v>-453621005.983114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228135.890713694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356043.041429667</v>
      </c>
      <c r="C18" t="n">
        <v>343703.285914232</v>
      </c>
      <c r="D18" t="n">
        <v>113282.655643613</v>
      </c>
      <c r="E18" t="n">
        <v>10924612.97382</v>
      </c>
      <c r="F18" t="n">
        <v>124258.059189643</v>
      </c>
      <c r="G18" t="n">
        <v>630462.024180718</v>
      </c>
      <c r="H18" t="n">
        <v>920049909.789832</v>
      </c>
      <c r="I18" t="n">
        <v>22778496.6054732</v>
      </c>
      <c r="J18" t="n">
        <v>204025579.247118</v>
      </c>
      <c r="K18" t="n">
        <v>17911257.941152</v>
      </c>
      <c r="L18" t="n">
        <v>32995682.5783302</v>
      </c>
      <c r="M18" t="n">
        <v>36603335.5168496</v>
      </c>
      <c r="N18" t="n">
        <v>7001479.78184729</v>
      </c>
      <c r="O18" t="n">
        <v>26082849.3965314</v>
      </c>
      <c r="P18" t="n">
        <v>29126979.1512635</v>
      </c>
      <c r="Q18" t="n">
        <v>1592095.83023572</v>
      </c>
      <c r="R18" t="n">
        <v>7141057.0445202</v>
      </c>
      <c r="S18" t="n">
        <v>31207388.7960009</v>
      </c>
      <c r="T18" t="n">
        <v>57358718.3721421</v>
      </c>
      <c r="U18" t="n">
        <v>175397.285889811</v>
      </c>
      <c r="V18" t="n">
        <v>0</v>
      </c>
      <c r="W18" t="n">
        <v>8027646.51430301</v>
      </c>
      <c r="X18" t="n">
        <v>37622.5804450103</v>
      </c>
      <c r="Y18" t="n">
        <v>22467414.5540025</v>
      </c>
      <c r="Z18" t="n">
        <v>8508596.31213189</v>
      </c>
      <c r="AA18" t="n">
        <v>27634919.0365265</v>
      </c>
      <c r="AB18" t="n">
        <v>1383043.03861583</v>
      </c>
      <c r="AC18" t="n">
        <v>2663660.87421732</v>
      </c>
      <c r="AD18" t="n">
        <v>677605.686160867</v>
      </c>
      <c r="AE18" t="n">
        <v>4153021.22427374</v>
      </c>
      <c r="AF18" t="n">
        <v>6260882.95075852</v>
      </c>
      <c r="AG18" t="n">
        <v>0</v>
      </c>
      <c r="AH18" t="n">
        <v>285153.078885364</v>
      </c>
      <c r="AI18" t="n">
        <v>0</v>
      </c>
      <c r="AJ18" t="n">
        <v>1773734.27402428</v>
      </c>
      <c r="AK18" t="n">
        <v>0</v>
      </c>
      <c r="AL18" t="n">
        <v>0</v>
      </c>
      <c r="AM18" t="n">
        <v>122486.26139979</v>
      </c>
      <c r="AN18" t="n">
        <v>643237.648110952</v>
      </c>
      <c r="AO18" t="n">
        <v>22760.5636953631</v>
      </c>
      <c r="AP18" t="n">
        <v>2270.03954284516</v>
      </c>
      <c r="AQ18" t="n">
        <v>21385044.5733189</v>
      </c>
      <c r="AR18" t="n">
        <v>4284325.45686702</v>
      </c>
      <c r="AS18" t="n">
        <v>442636.940768283</v>
      </c>
      <c r="AT18" t="n">
        <v>312855.673657425</v>
      </c>
      <c r="AU18" t="n">
        <v>676589.624587861</v>
      </c>
      <c r="AV18" t="n">
        <v>0</v>
      </c>
      <c r="AW18" t="n">
        <v>1300432.1071044</v>
      </c>
      <c r="AX18" t="n">
        <v>464698.426115628</v>
      </c>
      <c r="AY18" t="n">
        <v>2775274.75897684</v>
      </c>
      <c r="AZ18" t="n">
        <v>0</v>
      </c>
      <c r="BA18" t="n">
        <v>1958591.43670513</v>
      </c>
      <c r="BB18" t="n">
        <v>54343438.5831927</v>
      </c>
      <c r="BC18" t="n">
        <v>1200292.48472773</v>
      </c>
      <c r="BD18" t="n">
        <v>8962521.15021477</v>
      </c>
      <c r="BE18" t="n">
        <v>3579444.10112477</v>
      </c>
      <c r="BF18" t="n">
        <v>836090.442201704</v>
      </c>
      <c r="BG18" t="n">
        <v>34000772.3169128</v>
      </c>
      <c r="BH18" t="n">
        <v>45700025.8832197</v>
      </c>
      <c r="BI18" t="n">
        <v>3058468.55921147</v>
      </c>
      <c r="BJ18" t="n">
        <v>7330389.61241628</v>
      </c>
      <c r="BK18" t="n">
        <v>117263.364976194</v>
      </c>
      <c r="BL18" t="n">
        <v>1476644.33078581</v>
      </c>
      <c r="BM18" t="n">
        <v>821253.021536857</v>
      </c>
      <c r="BN18" t="n">
        <v>24873241.8299109</v>
      </c>
      <c r="BO18" t="n">
        <v>19219641.1819107</v>
      </c>
      <c r="BP18" t="n">
        <v>239515.481287962</v>
      </c>
      <c r="BQ18" t="n">
        <v>3661660.78674325</v>
      </c>
      <c r="BR18" t="n">
        <v>0</v>
      </c>
      <c r="BS18" t="n">
        <v>23587679.2248027</v>
      </c>
      <c r="BT18" t="n">
        <v>23736930.8498207</v>
      </c>
      <c r="BU18" t="n">
        <v>154085955.666632</v>
      </c>
      <c r="BV18" t="n">
        <v>0</v>
      </c>
      <c r="BW18" t="n">
        <v>0</v>
      </c>
      <c r="BX18" t="n">
        <v>0</v>
      </c>
      <c r="BY18" t="n">
        <v>0</v>
      </c>
      <c r="BZ18" t="n">
        <v>23388912.7412498</v>
      </c>
      <c r="CA18" t="n">
        <v>369635913.55486</v>
      </c>
      <c r="CB18" t="n">
        <v>-504771034.812094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2064458.5983903</v>
      </c>
      <c r="C19" t="n">
        <v>0</v>
      </c>
      <c r="D19" t="n">
        <v>400453.180477658</v>
      </c>
      <c r="E19" t="n">
        <v>10336347.6370557</v>
      </c>
      <c r="F19" t="n">
        <v>65321.0337403925</v>
      </c>
      <c r="G19" t="n">
        <v>32189.6021366964</v>
      </c>
      <c r="H19" t="n">
        <v>60186845.5626314</v>
      </c>
      <c r="I19" t="n">
        <v>6032417.58167632</v>
      </c>
      <c r="J19" t="n">
        <v>18472161.3857479</v>
      </c>
      <c r="K19" t="n">
        <v>568323414.249446</v>
      </c>
      <c r="L19" t="n">
        <v>1262383302.86882</v>
      </c>
      <c r="M19" t="n">
        <v>650258687.110667</v>
      </c>
      <c r="N19" t="n">
        <v>104959383.733803</v>
      </c>
      <c r="O19" t="n">
        <v>185056780.635468</v>
      </c>
      <c r="P19" t="n">
        <v>152312718.452235</v>
      </c>
      <c r="Q19" t="n">
        <v>32775216.0887515</v>
      </c>
      <c r="R19" t="n">
        <v>56828943.0571578</v>
      </c>
      <c r="S19" t="n">
        <v>196574582.445435</v>
      </c>
      <c r="T19" t="n">
        <v>28996052.1384857</v>
      </c>
      <c r="U19" t="n">
        <v>364079.006347596</v>
      </c>
      <c r="V19" t="n">
        <v>0</v>
      </c>
      <c r="W19" t="n">
        <v>16348519.2653353</v>
      </c>
      <c r="X19" t="n">
        <v>459079.864348367</v>
      </c>
      <c r="Y19" t="n">
        <v>186946.241959059</v>
      </c>
      <c r="Z19" t="n">
        <v>316601.070109816</v>
      </c>
      <c r="AA19" t="n">
        <v>20482395.9626952</v>
      </c>
      <c r="AB19" t="n">
        <v>7300624.69747646</v>
      </c>
      <c r="AC19" t="n">
        <v>70145.4864198292</v>
      </c>
      <c r="AD19" t="n">
        <v>0</v>
      </c>
      <c r="AE19" t="n">
        <v>0</v>
      </c>
      <c r="AF19" t="n">
        <v>6004915.42196817</v>
      </c>
      <c r="AG19" t="n">
        <v>0</v>
      </c>
      <c r="AH19" t="n">
        <v>9949547.00818055</v>
      </c>
      <c r="AI19" t="n">
        <v>0</v>
      </c>
      <c r="AJ19" t="n">
        <v>0</v>
      </c>
      <c r="AK19" t="n">
        <v>0</v>
      </c>
      <c r="AL19" t="n">
        <v>0</v>
      </c>
      <c r="AM19" t="n">
        <v>1155093.89830387</v>
      </c>
      <c r="AN19" t="n">
        <v>0</v>
      </c>
      <c r="AO19" t="n">
        <v>139557.703477027</v>
      </c>
      <c r="AP19" t="n">
        <v>20912.8621965388</v>
      </c>
      <c r="AQ19" t="n">
        <v>2900276.26330336</v>
      </c>
      <c r="AR19" t="n">
        <v>3315951.13122669</v>
      </c>
      <c r="AS19" t="n">
        <v>0</v>
      </c>
      <c r="AT19" t="n">
        <v>0</v>
      </c>
      <c r="AU19" t="n">
        <v>0</v>
      </c>
      <c r="AV19" t="n">
        <v>0</v>
      </c>
      <c r="AW19" t="n">
        <v>10389.2294725647</v>
      </c>
      <c r="AX19" t="n">
        <v>15689495.1005726</v>
      </c>
      <c r="AY19" t="n">
        <v>359102.829752857</v>
      </c>
      <c r="AZ19" t="n">
        <v>0</v>
      </c>
      <c r="BA19" t="n">
        <v>0</v>
      </c>
      <c r="BB19" t="n">
        <v>17673773.521979</v>
      </c>
      <c r="BC19" t="n">
        <v>1170798.30266237</v>
      </c>
      <c r="BD19" t="n">
        <v>5401357.93391526</v>
      </c>
      <c r="BE19" t="n">
        <v>3165901.10023754</v>
      </c>
      <c r="BF19" t="n">
        <v>1728690.91658854</v>
      </c>
      <c r="BG19" t="n">
        <v>2530158.65804292</v>
      </c>
      <c r="BH19" t="n">
        <v>361302.046538868</v>
      </c>
      <c r="BI19" t="n">
        <v>288274.612407523</v>
      </c>
      <c r="BJ19" t="n">
        <v>4442627.39719082</v>
      </c>
      <c r="BK19" t="n">
        <v>212123.647871819</v>
      </c>
      <c r="BL19" t="n">
        <v>3130389.26769735</v>
      </c>
      <c r="BM19" t="n">
        <v>256235.271277554</v>
      </c>
      <c r="BN19" t="n">
        <v>1060456.7815587</v>
      </c>
      <c r="BO19" t="n">
        <v>9904553.0939788</v>
      </c>
      <c r="BP19" t="n">
        <v>1175761.34764763</v>
      </c>
      <c r="BQ19" t="n">
        <v>3064075.11624455</v>
      </c>
      <c r="BR19" t="n">
        <v>0</v>
      </c>
      <c r="BS19" t="n">
        <v>1027495.56430934</v>
      </c>
      <c r="BT19" t="n">
        <v>5346675.46872561</v>
      </c>
      <c r="BU19" t="n">
        <v>8393459.88292309</v>
      </c>
      <c r="BV19" t="n">
        <v>0</v>
      </c>
      <c r="BW19" t="n">
        <v>0</v>
      </c>
      <c r="BX19" t="n">
        <v>0</v>
      </c>
      <c r="BY19" t="n">
        <v>0</v>
      </c>
      <c r="BZ19" t="n">
        <v>22435026.0637444</v>
      </c>
      <c r="CA19" t="n">
        <v>123922243.370537</v>
      </c>
      <c r="CB19" t="n">
        <v>-1456666960.63757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33780745.3733944</v>
      </c>
      <c r="C20" t="n">
        <v>632646.512295075</v>
      </c>
      <c r="D20" t="n">
        <v>723815.834065498</v>
      </c>
      <c r="E20" t="n">
        <v>20509745.7819035</v>
      </c>
      <c r="F20" t="n">
        <v>106856.530686823</v>
      </c>
      <c r="G20" t="n">
        <v>8352378.0378868</v>
      </c>
      <c r="H20" t="n">
        <v>905173496.009779</v>
      </c>
      <c r="I20" t="n">
        <v>56978951.2838511</v>
      </c>
      <c r="J20" t="n">
        <v>19601110.0405165</v>
      </c>
      <c r="K20" t="n">
        <v>27076673.4852416</v>
      </c>
      <c r="L20" t="n">
        <v>598178034.520733</v>
      </c>
      <c r="M20" t="n">
        <v>402065938.947547</v>
      </c>
      <c r="N20" t="n">
        <v>117768389.108634</v>
      </c>
      <c r="O20" t="n">
        <v>98081746.3730321</v>
      </c>
      <c r="P20" t="n">
        <v>83818703.430477</v>
      </c>
      <c r="Q20" t="n">
        <v>47697285.2115645</v>
      </c>
      <c r="R20" t="n">
        <v>65712837.707141</v>
      </c>
      <c r="S20" t="n">
        <v>129318779.025594</v>
      </c>
      <c r="T20" t="n">
        <v>182613047.647202</v>
      </c>
      <c r="U20" t="n">
        <v>2066291.70093458</v>
      </c>
      <c r="V20" t="n">
        <v>274828.463661026</v>
      </c>
      <c r="W20" t="n">
        <v>81100852.6199763</v>
      </c>
      <c r="X20" t="n">
        <v>21872200.0335223</v>
      </c>
      <c r="Y20" t="n">
        <v>18439749.5445904</v>
      </c>
      <c r="Z20" t="n">
        <v>42187364.2145137</v>
      </c>
      <c r="AA20" t="n">
        <v>84264794.0544372</v>
      </c>
      <c r="AB20" t="n">
        <v>29058337.5436233</v>
      </c>
      <c r="AC20" t="n">
        <v>3346344.97010516</v>
      </c>
      <c r="AD20" t="n">
        <v>2261053.35219613</v>
      </c>
      <c r="AE20" t="n">
        <v>1707446.29710497</v>
      </c>
      <c r="AF20" t="n">
        <v>17759622.2770105</v>
      </c>
      <c r="AG20" t="n">
        <v>4275009.53720658</v>
      </c>
      <c r="AH20" t="n">
        <v>6464749.37298661</v>
      </c>
      <c r="AI20" t="n">
        <v>13172176.4777573</v>
      </c>
      <c r="AJ20" t="n">
        <v>19469734.2667155</v>
      </c>
      <c r="AK20" t="n">
        <v>3781485.52970305</v>
      </c>
      <c r="AL20" t="n">
        <v>6878161.14507135</v>
      </c>
      <c r="AM20" t="n">
        <v>2913326.9938659</v>
      </c>
      <c r="AN20" t="n">
        <v>5051357.64050527</v>
      </c>
      <c r="AO20" t="n">
        <v>6008617.26643367</v>
      </c>
      <c r="AP20" t="n">
        <v>79306.7866113627</v>
      </c>
      <c r="AQ20" t="n">
        <v>73014229.0272495</v>
      </c>
      <c r="AR20" t="n">
        <v>8583820.85080172</v>
      </c>
      <c r="AS20" t="n">
        <v>4687180.99611919</v>
      </c>
      <c r="AT20" t="n">
        <v>1571920.71285539</v>
      </c>
      <c r="AU20" t="n">
        <v>0</v>
      </c>
      <c r="AV20" t="n">
        <v>1043380.93333273</v>
      </c>
      <c r="AW20" t="n">
        <v>204797.381786835</v>
      </c>
      <c r="AX20" t="n">
        <v>11603676.108819</v>
      </c>
      <c r="AY20" t="n">
        <v>5623480.00739479</v>
      </c>
      <c r="AZ20" t="n">
        <v>297872.105384908</v>
      </c>
      <c r="BA20" t="n">
        <v>22748554.7661031</v>
      </c>
      <c r="BB20" t="n">
        <v>51987052.4535469</v>
      </c>
      <c r="BC20" t="n">
        <v>12211754.6653819</v>
      </c>
      <c r="BD20" t="n">
        <v>20429410.8208911</v>
      </c>
      <c r="BE20" t="n">
        <v>31867845.5438419</v>
      </c>
      <c r="BF20" t="n">
        <v>3742086.35914401</v>
      </c>
      <c r="BG20" t="n">
        <v>4212955.58686059</v>
      </c>
      <c r="BH20" t="n">
        <v>19925901.7525551</v>
      </c>
      <c r="BI20" t="n">
        <v>453495.479001573</v>
      </c>
      <c r="BJ20" t="n">
        <v>34503816.9915859</v>
      </c>
      <c r="BK20" t="n">
        <v>325310.756098028</v>
      </c>
      <c r="BL20" t="n">
        <v>4826627.79095799</v>
      </c>
      <c r="BM20" t="n">
        <v>10302657.4689283</v>
      </c>
      <c r="BN20" t="n">
        <v>27512953.3173416</v>
      </c>
      <c r="BO20" t="n">
        <v>45610218.0770592</v>
      </c>
      <c r="BP20" t="n">
        <v>21234656.8238247</v>
      </c>
      <c r="BQ20" t="n">
        <v>7033522.32886384</v>
      </c>
      <c r="BR20" t="n">
        <v>1210022.80164662</v>
      </c>
      <c r="BS20" t="n">
        <v>39402885.7408147</v>
      </c>
      <c r="BT20" t="n">
        <v>33171508.7386777</v>
      </c>
      <c r="BU20" t="n">
        <v>199060280.648733</v>
      </c>
      <c r="BV20" t="n">
        <v>0</v>
      </c>
      <c r="BW20" t="n">
        <v>255335011.642262</v>
      </c>
      <c r="BX20" t="n">
        <v>0</v>
      </c>
      <c r="BY20" t="n">
        <v>0</v>
      </c>
      <c r="BZ20" t="n">
        <v>110950427.97293</v>
      </c>
      <c r="CA20" t="n">
        <v>573060270.323644</v>
      </c>
      <c r="CB20" t="n">
        <v>-1469508861.94807</v>
      </c>
      <c r="CC20" t="n">
        <v>0</v>
      </c>
      <c r="CD20" t="n">
        <v>0</v>
      </c>
      <c r="CE20" t="n">
        <v>160557800.28172</v>
      </c>
      <c r="CF20" t="n">
        <v>0</v>
      </c>
      <c r="CG20" t="n">
        <v>0</v>
      </c>
      <c r="CH20" t="n">
        <v>0</v>
      </c>
      <c r="CI20" t="n">
        <v>31218567.6272894</v>
      </c>
      <c r="CJ20" t="n">
        <v>0</v>
      </c>
      <c r="CK20" t="n">
        <v>0</v>
      </c>
      <c r="CL20" t="n">
        <v>0</v>
      </c>
      <c r="CM20" t="n">
        <v>3296667.59820967</v>
      </c>
      <c r="CN20" t="n">
        <v>0</v>
      </c>
    </row>
    <row r="21">
      <c r="A21" t="s">
        <v>132</v>
      </c>
      <c r="B21" t="n">
        <v>52155696.1493383</v>
      </c>
      <c r="C21" t="n">
        <v>218198.245248753</v>
      </c>
      <c r="D21" t="n">
        <v>847971.314926246</v>
      </c>
      <c r="E21" t="n">
        <v>96064971.3784272</v>
      </c>
      <c r="F21" t="n">
        <v>692150.245174248</v>
      </c>
      <c r="G21" t="n">
        <v>18200568.4619551</v>
      </c>
      <c r="H21" t="n">
        <v>447064519.208597</v>
      </c>
      <c r="I21" t="n">
        <v>10892394.2292013</v>
      </c>
      <c r="J21" t="n">
        <v>1603885.22948968</v>
      </c>
      <c r="K21" t="n">
        <v>6799192.33719049</v>
      </c>
      <c r="L21" t="n">
        <v>101486883.748902</v>
      </c>
      <c r="M21" t="n">
        <v>735085619.43688</v>
      </c>
      <c r="N21" t="n">
        <v>9945042.21320684</v>
      </c>
      <c r="O21" t="n">
        <v>30714768.977294</v>
      </c>
      <c r="P21" t="n">
        <v>139532202.948796</v>
      </c>
      <c r="Q21" t="n">
        <v>17384538.783811</v>
      </c>
      <c r="R21" t="n">
        <v>2123070.21883772</v>
      </c>
      <c r="S21" t="n">
        <v>30631460.2784237</v>
      </c>
      <c r="T21" t="n">
        <v>63135526.3613524</v>
      </c>
      <c r="U21" t="n">
        <v>160065.863547619</v>
      </c>
      <c r="V21" t="n">
        <v>7598.21737843737</v>
      </c>
      <c r="W21" t="n">
        <v>24297566.2766828</v>
      </c>
      <c r="X21" t="n">
        <v>54310394.4313162</v>
      </c>
      <c r="Y21" t="n">
        <v>1044957.60108591</v>
      </c>
      <c r="Z21" t="n">
        <v>23122825.1644091</v>
      </c>
      <c r="AA21" t="n">
        <v>26472788.1106762</v>
      </c>
      <c r="AB21" t="n">
        <v>38035615.6715597</v>
      </c>
      <c r="AC21" t="n">
        <v>2554902.51387815</v>
      </c>
      <c r="AD21" t="n">
        <v>1619736.15229334</v>
      </c>
      <c r="AE21" t="n">
        <v>1764751.81482896</v>
      </c>
      <c r="AF21" t="n">
        <v>7954382.19607858</v>
      </c>
      <c r="AG21" t="n">
        <v>115622.244387215</v>
      </c>
      <c r="AH21" t="n">
        <v>965804.700739599</v>
      </c>
      <c r="AI21" t="n">
        <v>872084.57163779</v>
      </c>
      <c r="AJ21" t="n">
        <v>6211058.93679895</v>
      </c>
      <c r="AK21" t="n">
        <v>579437.631898325</v>
      </c>
      <c r="AL21" t="n">
        <v>498202.776310009</v>
      </c>
      <c r="AM21" t="n">
        <v>57495112.6351536</v>
      </c>
      <c r="AN21" t="n">
        <v>11508735.1483827</v>
      </c>
      <c r="AO21" t="n">
        <v>769512.821823294</v>
      </c>
      <c r="AP21" t="n">
        <v>77171.6858229441</v>
      </c>
      <c r="AQ21" t="n">
        <v>9080262.5189586</v>
      </c>
      <c r="AR21" t="n">
        <v>3792964.95523734</v>
      </c>
      <c r="AS21" t="n">
        <v>90469.1045459052</v>
      </c>
      <c r="AT21" t="n">
        <v>410829.304689663</v>
      </c>
      <c r="AU21" t="n">
        <v>11675948.2026869</v>
      </c>
      <c r="AV21" t="n">
        <v>0</v>
      </c>
      <c r="AW21" t="n">
        <v>484810.721675644</v>
      </c>
      <c r="AX21" t="n">
        <v>706351.21564432</v>
      </c>
      <c r="AY21" t="n">
        <v>2975099.50698408</v>
      </c>
      <c r="AZ21" t="n">
        <v>184002.37928996</v>
      </c>
      <c r="BA21" t="n">
        <v>28110071.711306</v>
      </c>
      <c r="BB21" t="n">
        <v>32319436.9941092</v>
      </c>
      <c r="BC21" t="n">
        <v>8412420.70355865</v>
      </c>
      <c r="BD21" t="n">
        <v>42073416.7646882</v>
      </c>
      <c r="BE21" t="n">
        <v>62870920.5350756</v>
      </c>
      <c r="BF21" t="n">
        <v>20637189.8344342</v>
      </c>
      <c r="BG21" t="n">
        <v>14362354.7641798</v>
      </c>
      <c r="BH21" t="n">
        <v>13154636.0682577</v>
      </c>
      <c r="BI21" t="n">
        <v>3139483.97271249</v>
      </c>
      <c r="BJ21" t="n">
        <v>2946009.63964195</v>
      </c>
      <c r="BK21" t="n">
        <v>234880.283835989</v>
      </c>
      <c r="BL21" t="n">
        <v>1926403.87599976</v>
      </c>
      <c r="BM21" t="n">
        <v>531465.95719377</v>
      </c>
      <c r="BN21" t="n">
        <v>6356393.1977586</v>
      </c>
      <c r="BO21" t="n">
        <v>75623700.1919776</v>
      </c>
      <c r="BP21" t="n">
        <v>5372472.69147655</v>
      </c>
      <c r="BQ21" t="n">
        <v>1487726.50876243</v>
      </c>
      <c r="BR21" t="n">
        <v>416156.08696866</v>
      </c>
      <c r="BS21" t="n">
        <v>57644898.8733985</v>
      </c>
      <c r="BT21" t="n">
        <v>21339389.4516014</v>
      </c>
      <c r="BU21" t="n">
        <v>130132189.791389</v>
      </c>
      <c r="BV21" t="n">
        <v>0</v>
      </c>
      <c r="BW21" t="n">
        <v>5003786930.87158</v>
      </c>
      <c r="BX21" t="n">
        <v>0</v>
      </c>
      <c r="BY21" t="n">
        <v>0</v>
      </c>
      <c r="BZ21" t="n">
        <v>102484149.267827</v>
      </c>
      <c r="CA21" t="n">
        <v>2691699874.38424</v>
      </c>
      <c r="CB21" t="n">
        <v>-4308974693.15465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1321600.1547392</v>
      </c>
      <c r="CJ21" t="n">
        <v>0</v>
      </c>
      <c r="CK21" t="n">
        <v>0</v>
      </c>
      <c r="CL21" t="n">
        <v>0</v>
      </c>
      <c r="CM21" t="n">
        <v>158032201.077411</v>
      </c>
      <c r="CN21" t="n">
        <v>0</v>
      </c>
    </row>
    <row r="22">
      <c r="A22" t="s">
        <v>133</v>
      </c>
      <c r="B22" t="n">
        <v>346825.602167133</v>
      </c>
      <c r="C22" t="n">
        <v>0</v>
      </c>
      <c r="D22" t="n">
        <v>6817.61633815297</v>
      </c>
      <c r="E22" t="n">
        <v>775024.678865275</v>
      </c>
      <c r="F22" t="n">
        <v>22013.9112831909</v>
      </c>
      <c r="G22" t="n">
        <v>803733.625355661</v>
      </c>
      <c r="H22" t="n">
        <v>82276865.6970447</v>
      </c>
      <c r="I22" t="n">
        <v>19165839.4965843</v>
      </c>
      <c r="J22" t="n">
        <v>5361300.28867049</v>
      </c>
      <c r="K22" t="n">
        <v>6913360.08420439</v>
      </c>
      <c r="L22" t="n">
        <v>84048880.0527668</v>
      </c>
      <c r="M22" t="n">
        <v>98508724.0766014</v>
      </c>
      <c r="N22" t="n">
        <v>664069121.96781</v>
      </c>
      <c r="O22" t="n">
        <v>28668267.1176482</v>
      </c>
      <c r="P22" t="n">
        <v>66989053.6490084</v>
      </c>
      <c r="Q22" t="n">
        <v>55893168.6320396</v>
      </c>
      <c r="R22" t="n">
        <v>11759053.0019498</v>
      </c>
      <c r="S22" t="n">
        <v>50838479.9454524</v>
      </c>
      <c r="T22" t="n">
        <v>36444804.2736121</v>
      </c>
      <c r="U22" t="n">
        <v>1254889.01420504</v>
      </c>
      <c r="V22" t="n">
        <v>84634.1155589636</v>
      </c>
      <c r="W22" t="n">
        <v>2638638.98255407</v>
      </c>
      <c r="X22" t="n">
        <v>23107191.8511436</v>
      </c>
      <c r="Y22" t="n">
        <v>4914629.14619042</v>
      </c>
      <c r="Z22" t="n">
        <v>20598456.1740315</v>
      </c>
      <c r="AA22" t="n">
        <v>21064210.5953973</v>
      </c>
      <c r="AB22" t="n">
        <v>545478177.354426</v>
      </c>
      <c r="AC22" t="n">
        <v>9364155.91355526</v>
      </c>
      <c r="AD22" t="n">
        <v>5141803.83126554</v>
      </c>
      <c r="AE22" t="n">
        <v>7954231.6687827</v>
      </c>
      <c r="AF22" t="n">
        <v>16775557.325099</v>
      </c>
      <c r="AG22" t="n">
        <v>102094.367182133</v>
      </c>
      <c r="AH22" t="n">
        <v>804915.196982997</v>
      </c>
      <c r="AI22" t="n">
        <v>5876.19492587229</v>
      </c>
      <c r="AJ22" t="n">
        <v>3468970.09483969</v>
      </c>
      <c r="AK22" t="n">
        <v>33138.2508833922</v>
      </c>
      <c r="AL22" t="n">
        <v>69829.6024056131</v>
      </c>
      <c r="AM22" t="n">
        <v>603899.183198308</v>
      </c>
      <c r="AN22" t="n">
        <v>1100330.01259798</v>
      </c>
      <c r="AO22" t="n">
        <v>28579827.3669518</v>
      </c>
      <c r="AP22" t="n">
        <v>1330765.9780925</v>
      </c>
      <c r="AQ22" t="n">
        <v>129547819.257433</v>
      </c>
      <c r="AR22" t="n">
        <v>45297568.1270009</v>
      </c>
      <c r="AS22" t="n">
        <v>8755550.79157043</v>
      </c>
      <c r="AT22" t="n">
        <v>9886626.90429388</v>
      </c>
      <c r="AU22" t="n">
        <v>887298.831637542</v>
      </c>
      <c r="AV22" t="n">
        <v>36634423.1839709</v>
      </c>
      <c r="AW22" t="n">
        <v>8016.27470563311</v>
      </c>
      <c r="AX22" t="n">
        <v>4303098.53277407</v>
      </c>
      <c r="AY22" t="n">
        <v>613384.248748056</v>
      </c>
      <c r="AZ22" t="n">
        <v>12369759.6864402</v>
      </c>
      <c r="BA22" t="n">
        <v>55913784.1352253</v>
      </c>
      <c r="BB22" t="n">
        <v>104896551.150699</v>
      </c>
      <c r="BC22" t="n">
        <v>150065034.276715</v>
      </c>
      <c r="BD22" t="n">
        <v>65162896.1175239</v>
      </c>
      <c r="BE22" t="n">
        <v>10737124.5364177</v>
      </c>
      <c r="BF22" t="n">
        <v>8050863.47749911</v>
      </c>
      <c r="BG22" t="n">
        <v>99939859.53149</v>
      </c>
      <c r="BH22" t="n">
        <v>12012642.6662486</v>
      </c>
      <c r="BI22" t="n">
        <v>2851917.18332112</v>
      </c>
      <c r="BJ22" t="n">
        <v>10340211.0654233</v>
      </c>
      <c r="BK22" t="n">
        <v>269518.125014408</v>
      </c>
      <c r="BL22" t="n">
        <v>1598577.15006073</v>
      </c>
      <c r="BM22" t="n">
        <v>1990693.053111</v>
      </c>
      <c r="BN22" t="n">
        <v>1791294.57752234</v>
      </c>
      <c r="BO22" t="n">
        <v>42153258.2253717</v>
      </c>
      <c r="BP22" t="n">
        <v>36483868.3717332</v>
      </c>
      <c r="BQ22" t="n">
        <v>19474020.1911283</v>
      </c>
      <c r="BR22" t="n">
        <v>0</v>
      </c>
      <c r="BS22" t="n">
        <v>24108935.2477617</v>
      </c>
      <c r="BT22" t="n">
        <v>12109747.0840239</v>
      </c>
      <c r="BU22" t="n">
        <v>1242205822.78647</v>
      </c>
      <c r="BV22" t="n">
        <v>0</v>
      </c>
      <c r="BW22" t="n">
        <v>4829373601.57251</v>
      </c>
      <c r="BX22" t="n">
        <v>0</v>
      </c>
      <c r="BY22" t="n">
        <v>3193826.59704721</v>
      </c>
      <c r="BZ22" t="n">
        <v>59249569.0480553</v>
      </c>
      <c r="CA22" t="n">
        <v>1922844792.73454</v>
      </c>
      <c r="CB22" t="n">
        <v>-7275315354.71211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15375959.0796523</v>
      </c>
      <c r="CJ22" t="n">
        <v>0</v>
      </c>
      <c r="CK22" t="n">
        <v>0</v>
      </c>
      <c r="CL22" t="n">
        <v>0</v>
      </c>
      <c r="CM22" t="n">
        <v>149480604.051607</v>
      </c>
      <c r="CN22" t="n">
        <v>0</v>
      </c>
    </row>
    <row r="23">
      <c r="A23" t="s">
        <v>134</v>
      </c>
      <c r="B23" t="n">
        <v>53036372.6451581</v>
      </c>
      <c r="C23" t="n">
        <v>284076.109406536</v>
      </c>
      <c r="D23" t="n">
        <v>12879.2849100351</v>
      </c>
      <c r="E23" t="n">
        <v>1738513.8627088</v>
      </c>
      <c r="F23" t="n">
        <v>80336.0359107122</v>
      </c>
      <c r="G23" t="n">
        <v>219222.867004517</v>
      </c>
      <c r="H23" t="n">
        <v>488003360.942847</v>
      </c>
      <c r="I23" t="n">
        <v>11333607.465202</v>
      </c>
      <c r="J23" t="n">
        <v>1467671.04007576</v>
      </c>
      <c r="K23" t="n">
        <v>12956882.7344109</v>
      </c>
      <c r="L23" t="n">
        <v>59613701.1914408</v>
      </c>
      <c r="M23" t="n">
        <v>308821755.255239</v>
      </c>
      <c r="N23" t="n">
        <v>61323664.4669129</v>
      </c>
      <c r="O23" t="n">
        <v>146692530.639564</v>
      </c>
      <c r="P23" t="n">
        <v>24245377.7007607</v>
      </c>
      <c r="Q23" t="n">
        <v>7414805.52873994</v>
      </c>
      <c r="R23" t="n">
        <v>2531084.01753086</v>
      </c>
      <c r="S23" t="n">
        <v>33712402.3450411</v>
      </c>
      <c r="T23" t="n">
        <v>25821707.8521146</v>
      </c>
      <c r="U23" t="n">
        <v>289393.215164415</v>
      </c>
      <c r="V23" t="n">
        <v>14544.1314029998</v>
      </c>
      <c r="W23" t="n">
        <v>9908232.84524823</v>
      </c>
      <c r="X23" t="n">
        <v>3160623.43431459</v>
      </c>
      <c r="Y23" t="n">
        <v>3160177.61046773</v>
      </c>
      <c r="Z23" t="n">
        <v>6256248.30758501</v>
      </c>
      <c r="AA23" t="n">
        <v>14436386.6306241</v>
      </c>
      <c r="AB23" t="n">
        <v>16457264.8379695</v>
      </c>
      <c r="AC23" t="n">
        <v>4185193.7183259</v>
      </c>
      <c r="AD23" t="n">
        <v>1394472.78417031</v>
      </c>
      <c r="AE23" t="n">
        <v>14983408.6508615</v>
      </c>
      <c r="AF23" t="n">
        <v>3605941.54422899</v>
      </c>
      <c r="AG23" t="n">
        <v>35779.5467518852</v>
      </c>
      <c r="AH23" t="n">
        <v>2480258.89634917</v>
      </c>
      <c r="AI23" t="n">
        <v>118868.786510417</v>
      </c>
      <c r="AJ23" t="n">
        <v>979823.793979204</v>
      </c>
      <c r="AK23" t="n">
        <v>2081744.07804603</v>
      </c>
      <c r="AL23" t="n">
        <v>24029.1387847887</v>
      </c>
      <c r="AM23" t="n">
        <v>844024.404881875</v>
      </c>
      <c r="AN23" t="n">
        <v>840146.374781749</v>
      </c>
      <c r="AO23" t="n">
        <v>41133.4080616911</v>
      </c>
      <c r="AP23" t="n">
        <v>0</v>
      </c>
      <c r="AQ23" t="n">
        <v>32428555.4713369</v>
      </c>
      <c r="AR23" t="n">
        <v>1292554.50337369</v>
      </c>
      <c r="AS23" t="n">
        <v>2301401.92222263</v>
      </c>
      <c r="AT23" t="n">
        <v>851902.821897132</v>
      </c>
      <c r="AU23" t="n">
        <v>774000.065675882</v>
      </c>
      <c r="AV23" t="n">
        <v>0</v>
      </c>
      <c r="AW23" t="n">
        <v>50241.0874426841</v>
      </c>
      <c r="AX23" t="n">
        <v>13056890.7758415</v>
      </c>
      <c r="AY23" t="n">
        <v>883121.514896643</v>
      </c>
      <c r="AZ23" t="n">
        <v>0</v>
      </c>
      <c r="BA23" t="n">
        <v>36410684.202243</v>
      </c>
      <c r="BB23" t="n">
        <v>66237200.9279155</v>
      </c>
      <c r="BC23" t="n">
        <v>1554800.7916045</v>
      </c>
      <c r="BD23" t="n">
        <v>22263155.3185345</v>
      </c>
      <c r="BE23" t="n">
        <v>15080625.7387571</v>
      </c>
      <c r="BF23" t="n">
        <v>4449593.68762225</v>
      </c>
      <c r="BG23" t="n">
        <v>179836.378237142</v>
      </c>
      <c r="BH23" t="n">
        <v>17021904.5623028</v>
      </c>
      <c r="BI23" t="n">
        <v>25951761.8834034</v>
      </c>
      <c r="BJ23" t="n">
        <v>6543465.75094571</v>
      </c>
      <c r="BK23" t="n">
        <v>574960.42179169</v>
      </c>
      <c r="BL23" t="n">
        <v>4838862.0212118</v>
      </c>
      <c r="BM23" t="n">
        <v>7886576.85726661</v>
      </c>
      <c r="BN23" t="n">
        <v>5293627.4445686</v>
      </c>
      <c r="BO23" t="n">
        <v>46965232.1790314</v>
      </c>
      <c r="BP23" t="n">
        <v>6751255.40144859</v>
      </c>
      <c r="BQ23" t="n">
        <v>21808516.6933857</v>
      </c>
      <c r="BR23" t="n">
        <v>488546.976820656</v>
      </c>
      <c r="BS23" t="n">
        <v>16447925.4007363</v>
      </c>
      <c r="BT23" t="n">
        <v>26065076.9221169</v>
      </c>
      <c r="BU23" t="n">
        <v>556660825.900567</v>
      </c>
      <c r="BV23" t="n">
        <v>0</v>
      </c>
      <c r="BW23" t="n">
        <v>522133966.863286</v>
      </c>
      <c r="BX23" t="n">
        <v>0</v>
      </c>
      <c r="BY23" t="n">
        <v>83096940.6038278</v>
      </c>
      <c r="BZ23" t="n">
        <v>34206862.5712943</v>
      </c>
      <c r="CA23" t="n">
        <v>648468828.413654</v>
      </c>
      <c r="CB23" t="n">
        <v>-2157580789.94264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60105189.9821859</v>
      </c>
      <c r="CJ23" t="n">
        <v>0</v>
      </c>
      <c r="CK23" t="n">
        <v>0</v>
      </c>
      <c r="CL23" t="n">
        <v>0</v>
      </c>
      <c r="CM23" t="n">
        <v>16650419.4137409</v>
      </c>
      <c r="CN23" t="n">
        <v>0</v>
      </c>
    </row>
    <row r="24">
      <c r="A24" t="s">
        <v>135</v>
      </c>
      <c r="B24" t="n">
        <v>22273599.4644118</v>
      </c>
      <c r="C24" t="n">
        <v>315210.946600211</v>
      </c>
      <c r="D24" t="n">
        <v>80400.4633790015</v>
      </c>
      <c r="E24" t="n">
        <v>18131255.1814312</v>
      </c>
      <c r="F24" t="n">
        <v>71138.7180256971</v>
      </c>
      <c r="G24" t="n">
        <v>375080.906725775</v>
      </c>
      <c r="H24" t="n">
        <v>24299277.3832338</v>
      </c>
      <c r="I24" t="n">
        <v>41289191.0448073</v>
      </c>
      <c r="J24" t="n">
        <v>6471816.70548687</v>
      </c>
      <c r="K24" t="n">
        <v>5564299.42154045</v>
      </c>
      <c r="L24" t="n">
        <v>27332299.7470721</v>
      </c>
      <c r="M24" t="n">
        <v>217979032.087684</v>
      </c>
      <c r="N24" t="n">
        <v>22273071.3369946</v>
      </c>
      <c r="O24" t="n">
        <v>9779290.73649445</v>
      </c>
      <c r="P24" t="n">
        <v>618478813.727538</v>
      </c>
      <c r="Q24" t="n">
        <v>11858421.76422</v>
      </c>
      <c r="R24" t="n">
        <v>8514140.35937711</v>
      </c>
      <c r="S24" t="n">
        <v>30402855.729038</v>
      </c>
      <c r="T24" t="n">
        <v>71388473.4771654</v>
      </c>
      <c r="U24" t="n">
        <v>339551.043102193</v>
      </c>
      <c r="V24" t="n">
        <v>5228.73143188382</v>
      </c>
      <c r="W24" t="n">
        <v>22622488.0520208</v>
      </c>
      <c r="X24" t="n">
        <v>4778921.35616411</v>
      </c>
      <c r="Y24" t="n">
        <v>2871826.79830959</v>
      </c>
      <c r="Z24" t="n">
        <v>7953430.89115853</v>
      </c>
      <c r="AA24" t="n">
        <v>9190049.2396007</v>
      </c>
      <c r="AB24" t="n">
        <v>111103034.565733</v>
      </c>
      <c r="AC24" t="n">
        <v>50730447.9249543</v>
      </c>
      <c r="AD24" t="n">
        <v>22195859.2152389</v>
      </c>
      <c r="AE24" t="n">
        <v>5201939.32277627</v>
      </c>
      <c r="AF24" t="n">
        <v>43753017.199065</v>
      </c>
      <c r="AG24" t="n">
        <v>0</v>
      </c>
      <c r="AH24" t="n">
        <v>1277050.45646932</v>
      </c>
      <c r="AI24" t="n">
        <v>0</v>
      </c>
      <c r="AJ24" t="n">
        <v>80169619.5917535</v>
      </c>
      <c r="AK24" t="n">
        <v>5107287.56541985</v>
      </c>
      <c r="AL24" t="n">
        <v>9493.39023364341</v>
      </c>
      <c r="AM24" t="n">
        <v>936546.30465474</v>
      </c>
      <c r="AN24" t="n">
        <v>12124100.5516165</v>
      </c>
      <c r="AO24" t="n">
        <v>2092429.48603356</v>
      </c>
      <c r="AP24" t="n">
        <v>295803.849476089</v>
      </c>
      <c r="AQ24" t="n">
        <v>9324809.35127641</v>
      </c>
      <c r="AR24" t="n">
        <v>1882243.52006895</v>
      </c>
      <c r="AS24" t="n">
        <v>2095828.59839238</v>
      </c>
      <c r="AT24" t="n">
        <v>225427.239763777</v>
      </c>
      <c r="AU24" t="n">
        <v>0</v>
      </c>
      <c r="AV24" t="n">
        <v>0</v>
      </c>
      <c r="AW24" t="n">
        <v>0</v>
      </c>
      <c r="AX24" t="n">
        <v>0</v>
      </c>
      <c r="AY24" t="n">
        <v>7803331.1463999</v>
      </c>
      <c r="AZ24" t="n">
        <v>0</v>
      </c>
      <c r="BA24" t="n">
        <v>894409.890337398</v>
      </c>
      <c r="BB24" t="n">
        <v>33531900.1628482</v>
      </c>
      <c r="BC24" t="n">
        <v>15149486.5274577</v>
      </c>
      <c r="BD24" t="n">
        <v>110072731.918648</v>
      </c>
      <c r="BE24" t="n">
        <v>14774393.723432</v>
      </c>
      <c r="BF24" t="n">
        <v>5143592.17596052</v>
      </c>
      <c r="BG24" t="n">
        <v>9622159.51929046</v>
      </c>
      <c r="BH24" t="n">
        <v>31136060.6674444</v>
      </c>
      <c r="BI24" t="n">
        <v>2863093.22634372</v>
      </c>
      <c r="BJ24" t="n">
        <v>35322830.4928866</v>
      </c>
      <c r="BK24" t="n">
        <v>519466.682129995</v>
      </c>
      <c r="BL24" t="n">
        <v>1112021.21231052</v>
      </c>
      <c r="BM24" t="n">
        <v>1291649.53937521</v>
      </c>
      <c r="BN24" t="n">
        <v>11699829.3657565</v>
      </c>
      <c r="BO24" t="n">
        <v>125497205.705949</v>
      </c>
      <c r="BP24" t="n">
        <v>26445449.0488917</v>
      </c>
      <c r="BQ24" t="n">
        <v>732410.358247933</v>
      </c>
      <c r="BR24" t="n">
        <v>18453758.3970493</v>
      </c>
      <c r="BS24" t="n">
        <v>78857093.3276756</v>
      </c>
      <c r="BT24" t="n">
        <v>8746156.79917366</v>
      </c>
      <c r="BU24" t="n">
        <v>2528148490.30847</v>
      </c>
      <c r="BV24" t="n">
        <v>0</v>
      </c>
      <c r="BW24" t="n">
        <v>1241274573.88097</v>
      </c>
      <c r="BX24" t="n">
        <v>0</v>
      </c>
      <c r="BY24" t="n">
        <v>0</v>
      </c>
      <c r="BZ24" t="n">
        <v>45425219.8178493</v>
      </c>
      <c r="CA24" t="n">
        <v>814475137.746985</v>
      </c>
      <c r="CB24" t="n">
        <v>-4123720653.18751</v>
      </c>
      <c r="CC24" t="n">
        <v>0</v>
      </c>
      <c r="CD24" t="n">
        <v>0</v>
      </c>
      <c r="CE24" t="n">
        <v>58058804.1373255</v>
      </c>
      <c r="CF24" t="n">
        <v>0</v>
      </c>
      <c r="CG24" t="n">
        <v>0</v>
      </c>
      <c r="CH24" t="n">
        <v>0</v>
      </c>
      <c r="CI24" t="n">
        <v>23194426.9888717</v>
      </c>
      <c r="CJ24" t="n">
        <v>0</v>
      </c>
      <c r="CK24" t="n">
        <v>0</v>
      </c>
      <c r="CL24" t="n">
        <v>0</v>
      </c>
      <c r="CM24" t="n">
        <v>387376622.53995</v>
      </c>
      <c r="CN24" t="n">
        <v>0</v>
      </c>
    </row>
    <row r="25">
      <c r="A25" t="s">
        <v>136</v>
      </c>
      <c r="B25" t="n">
        <v>0</v>
      </c>
      <c r="C25" t="n">
        <v>33762.8800425321</v>
      </c>
      <c r="D25" t="n">
        <v>0</v>
      </c>
      <c r="E25" t="n">
        <v>107667.671512558</v>
      </c>
      <c r="F25" t="n">
        <v>0</v>
      </c>
      <c r="G25" t="n">
        <v>0</v>
      </c>
      <c r="H25" t="n">
        <v>222257.951379804</v>
      </c>
      <c r="I25" t="n">
        <v>141919.603386469</v>
      </c>
      <c r="J25" t="n">
        <v>0</v>
      </c>
      <c r="K25" t="n">
        <v>0</v>
      </c>
      <c r="L25" t="n">
        <v>850642.419119849</v>
      </c>
      <c r="M25" t="n">
        <v>2050031.94616222</v>
      </c>
      <c r="N25" t="n">
        <v>0</v>
      </c>
      <c r="O25" t="n">
        <v>0</v>
      </c>
      <c r="P25" t="n">
        <v>1422852.66411855</v>
      </c>
      <c r="Q25" t="n">
        <v>381220395.180717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314163.51887656</v>
      </c>
      <c r="AD25" t="n">
        <v>0</v>
      </c>
      <c r="AE25" t="n">
        <v>0</v>
      </c>
      <c r="AF25" t="n">
        <v>0</v>
      </c>
      <c r="AG25" t="n">
        <v>13318001.4823465</v>
      </c>
      <c r="AH25" t="n">
        <v>13438890.9586924</v>
      </c>
      <c r="AI25" t="n">
        <v>6339038.51989943</v>
      </c>
      <c r="AJ25" t="n">
        <v>60808.1630053194</v>
      </c>
      <c r="AK25" t="n">
        <v>651536.434969877</v>
      </c>
      <c r="AL25" t="n">
        <v>0</v>
      </c>
      <c r="AM25" t="n">
        <v>24924033.5251456</v>
      </c>
      <c r="AN25" t="n">
        <v>0</v>
      </c>
      <c r="AO25" t="n">
        <v>0</v>
      </c>
      <c r="AP25" t="n">
        <v>0</v>
      </c>
      <c r="AQ25" t="n">
        <v>12661.7474154996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8681337.08736881</v>
      </c>
      <c r="BC25" t="n">
        <v>675803.325651758</v>
      </c>
      <c r="BD25" t="n">
        <v>360450.432931076</v>
      </c>
      <c r="BE25" t="n">
        <v>553950.126918965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120643.680484441</v>
      </c>
      <c r="BM25" t="n">
        <v>0</v>
      </c>
      <c r="BN25" t="n">
        <v>0</v>
      </c>
      <c r="BO25" t="n">
        <v>1339865.93079905</v>
      </c>
      <c r="BP25" t="n">
        <v>92936871.2769191</v>
      </c>
      <c r="BQ25" t="n">
        <v>9090706.16766189</v>
      </c>
      <c r="BR25" t="n">
        <v>3179.54320318758</v>
      </c>
      <c r="BS25" t="n">
        <v>0</v>
      </c>
      <c r="BT25" t="n">
        <v>388195.388807016</v>
      </c>
      <c r="BU25" t="n">
        <v>266107799.834463</v>
      </c>
      <c r="BV25" t="n">
        <v>0</v>
      </c>
      <c r="BW25" t="n">
        <v>171654864.978539</v>
      </c>
      <c r="BX25" t="n">
        <v>0</v>
      </c>
      <c r="BY25" t="n">
        <v>0</v>
      </c>
      <c r="BZ25" t="n">
        <v>137297684.733456</v>
      </c>
      <c r="CA25" t="n">
        <v>777653536.698293</v>
      </c>
      <c r="CB25" t="n">
        <v>-520178955.203418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423820.059025298</v>
      </c>
      <c r="CJ25" t="n">
        <v>0</v>
      </c>
      <c r="CK25" t="n">
        <v>0</v>
      </c>
      <c r="CL25" t="n">
        <v>0</v>
      </c>
      <c r="CM25" t="n">
        <v>1795004.24043542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197914509.360873</v>
      </c>
      <c r="I26" t="n">
        <v>10140580.1266018</v>
      </c>
      <c r="J26" t="n">
        <v>0</v>
      </c>
      <c r="K26" t="n">
        <v>0</v>
      </c>
      <c r="L26" t="n">
        <v>0</v>
      </c>
      <c r="M26" t="n">
        <v>4450886.119367</v>
      </c>
      <c r="N26" t="n">
        <v>983679.290907011</v>
      </c>
      <c r="O26" t="n">
        <v>0</v>
      </c>
      <c r="P26" t="n">
        <v>80036.1381906466</v>
      </c>
      <c r="Q26" t="n">
        <v>959079.832542228</v>
      </c>
      <c r="R26" t="n">
        <v>83097640.5426183</v>
      </c>
      <c r="S26" t="n">
        <v>2884053.578529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3918782.66247718</v>
      </c>
      <c r="AB26" t="n">
        <v>14530026.6589586</v>
      </c>
      <c r="AC26" t="n">
        <v>1444305.73570062</v>
      </c>
      <c r="AD26" t="n">
        <v>0</v>
      </c>
      <c r="AE26" t="n">
        <v>155727.304591922</v>
      </c>
      <c r="AF26" t="n">
        <v>19082857.4717868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10680.1491924538</v>
      </c>
      <c r="AP26" t="n">
        <v>0</v>
      </c>
      <c r="AQ26" t="n">
        <v>652013.555825927</v>
      </c>
      <c r="AR26" t="n">
        <v>1671439.70248975</v>
      </c>
      <c r="AS26" t="n">
        <v>0</v>
      </c>
      <c r="AT26" t="n">
        <v>0</v>
      </c>
      <c r="AU26" t="n">
        <v>0</v>
      </c>
      <c r="AV26" t="n">
        <v>0</v>
      </c>
      <c r="AW26" t="n">
        <v>39359782.6513815</v>
      </c>
      <c r="AX26" t="n">
        <v>478508.9859329</v>
      </c>
      <c r="AY26" t="n">
        <v>0</v>
      </c>
      <c r="AZ26" t="n">
        <v>89166.2131109443</v>
      </c>
      <c r="BA26" t="n">
        <v>29210.3451366385</v>
      </c>
      <c r="BB26" t="n">
        <v>7302507.61509315</v>
      </c>
      <c r="BC26" t="n">
        <v>171141.407296394</v>
      </c>
      <c r="BD26" t="n">
        <v>25484.6306853666</v>
      </c>
      <c r="BE26" t="n">
        <v>0</v>
      </c>
      <c r="BF26" t="n">
        <v>0</v>
      </c>
      <c r="BG26" t="n">
        <v>3926595.96340729</v>
      </c>
      <c r="BH26" t="n">
        <v>1781695.28580248</v>
      </c>
      <c r="BI26" t="n">
        <v>18650.9752303823</v>
      </c>
      <c r="BJ26" t="n">
        <v>2528268.59423318</v>
      </c>
      <c r="BK26" t="n">
        <v>4177660.18319125</v>
      </c>
      <c r="BL26" t="n">
        <v>4679924.95223211</v>
      </c>
      <c r="BM26" t="n">
        <v>13970.5995594398</v>
      </c>
      <c r="BN26" t="n">
        <v>2317780.16992209</v>
      </c>
      <c r="BO26" t="n">
        <v>5359713.07677403</v>
      </c>
      <c r="BP26" t="n">
        <v>0</v>
      </c>
      <c r="BQ26" t="n">
        <v>0</v>
      </c>
      <c r="BR26" t="n">
        <v>629956.125024785</v>
      </c>
      <c r="BS26" t="n">
        <v>112469.789018758</v>
      </c>
      <c r="BT26" t="n">
        <v>8623852.96774508</v>
      </c>
      <c r="BU26" t="n">
        <v>675142706.765967</v>
      </c>
      <c r="BV26" t="n">
        <v>0</v>
      </c>
      <c r="BW26" t="n">
        <v>714070012.350869</v>
      </c>
      <c r="BX26" t="n">
        <v>0</v>
      </c>
      <c r="BY26" t="n">
        <v>7859552.63011129</v>
      </c>
      <c r="BZ26" t="n">
        <v>16687407.9823097</v>
      </c>
      <c r="CA26" t="n">
        <v>68414381.6188695</v>
      </c>
      <c r="CB26" t="n">
        <v>-971041209.536481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130405.467774317</v>
      </c>
      <c r="CJ26" t="n">
        <v>0</v>
      </c>
      <c r="CK26" t="n">
        <v>0</v>
      </c>
      <c r="CL26" t="n">
        <v>0</v>
      </c>
      <c r="CM26" t="n">
        <v>23026495.5122292</v>
      </c>
      <c r="CN26" t="n">
        <v>0</v>
      </c>
    </row>
    <row r="27">
      <c r="A27" t="s">
        <v>138</v>
      </c>
      <c r="B27" t="n">
        <v>1759503.80254435</v>
      </c>
      <c r="C27" t="n">
        <v>0</v>
      </c>
      <c r="D27" t="n">
        <v>3637.56880582042</v>
      </c>
      <c r="E27" t="n">
        <v>813363.556755041</v>
      </c>
      <c r="F27" t="n">
        <v>3366.07073186982</v>
      </c>
      <c r="G27" t="n">
        <v>0</v>
      </c>
      <c r="H27" t="n">
        <v>15165903.9205398</v>
      </c>
      <c r="I27" t="n">
        <v>512852.652435796</v>
      </c>
      <c r="J27" t="n">
        <v>841276.782940956</v>
      </c>
      <c r="K27" t="n">
        <v>182429.961075631</v>
      </c>
      <c r="L27" t="n">
        <v>1184221.89655711</v>
      </c>
      <c r="M27" t="n">
        <v>44004435.1833496</v>
      </c>
      <c r="N27" t="n">
        <v>16979.0395592682</v>
      </c>
      <c r="O27" t="n">
        <v>7297403.35665947</v>
      </c>
      <c r="P27" t="n">
        <v>9849326.60889906</v>
      </c>
      <c r="Q27" t="n">
        <v>106357.710849976</v>
      </c>
      <c r="R27" t="n">
        <v>125382.724772511</v>
      </c>
      <c r="S27" t="n">
        <v>218939869.925725</v>
      </c>
      <c r="T27" t="n">
        <v>758183.327082014</v>
      </c>
      <c r="U27" t="n">
        <v>47189.6186599365</v>
      </c>
      <c r="V27" t="n">
        <v>978485.841773251</v>
      </c>
      <c r="W27" t="n">
        <v>0</v>
      </c>
      <c r="X27" t="n">
        <v>121912.045039369</v>
      </c>
      <c r="Y27" t="n">
        <v>20484.7952409093</v>
      </c>
      <c r="Z27" t="n">
        <v>2176905.16174198</v>
      </c>
      <c r="AA27" t="n">
        <v>1744145.87214369</v>
      </c>
      <c r="AB27" t="n">
        <v>11929511.9645252</v>
      </c>
      <c r="AC27" t="n">
        <v>6727050.11165598</v>
      </c>
      <c r="AD27" t="n">
        <v>1492154.4172295</v>
      </c>
      <c r="AE27" t="n">
        <v>81535.0789464672</v>
      </c>
      <c r="AF27" t="n">
        <v>13972670.3524318</v>
      </c>
      <c r="AG27" t="n">
        <v>0</v>
      </c>
      <c r="AH27" t="n">
        <v>14908.403561121</v>
      </c>
      <c r="AI27" t="n">
        <v>0</v>
      </c>
      <c r="AJ27" t="n">
        <v>105846.276278638</v>
      </c>
      <c r="AK27" t="n">
        <v>235358.087672769</v>
      </c>
      <c r="AL27" t="n">
        <v>3780.91043439522</v>
      </c>
      <c r="AM27" t="n">
        <v>1012017.24921507</v>
      </c>
      <c r="AN27" t="n">
        <v>953617.249394948</v>
      </c>
      <c r="AO27" t="n">
        <v>36876.6154996491</v>
      </c>
      <c r="AP27" t="n">
        <v>5443.68191863967</v>
      </c>
      <c r="AQ27" t="n">
        <v>982984.246874216</v>
      </c>
      <c r="AR27" t="n">
        <v>507457.274871124</v>
      </c>
      <c r="AS27" t="n">
        <v>927440.967162609</v>
      </c>
      <c r="AT27" t="n">
        <v>220138.432889493</v>
      </c>
      <c r="AU27" t="n">
        <v>289352.876464829</v>
      </c>
      <c r="AV27" t="n">
        <v>0</v>
      </c>
      <c r="AW27" t="n">
        <v>0</v>
      </c>
      <c r="AX27" t="n">
        <v>2087004.71945252</v>
      </c>
      <c r="AY27" t="n">
        <v>253793.320704892</v>
      </c>
      <c r="AZ27" t="n">
        <v>124375.191641964</v>
      </c>
      <c r="BA27" t="n">
        <v>279032.045610037</v>
      </c>
      <c r="BB27" t="n">
        <v>22265519.2337154</v>
      </c>
      <c r="BC27" t="n">
        <v>326803.434245691</v>
      </c>
      <c r="BD27" t="n">
        <v>21340513.7325088</v>
      </c>
      <c r="BE27" t="n">
        <v>2848783.24070791</v>
      </c>
      <c r="BF27" t="n">
        <v>3446697.21469703</v>
      </c>
      <c r="BG27" t="n">
        <v>261205230.459784</v>
      </c>
      <c r="BH27" t="n">
        <v>406589367.968289</v>
      </c>
      <c r="BI27" t="n">
        <v>12913977.7095339</v>
      </c>
      <c r="BJ27" t="n">
        <v>27475622.8550722</v>
      </c>
      <c r="BK27" t="n">
        <v>744813.635355078</v>
      </c>
      <c r="BL27" t="n">
        <v>3184587.29516941</v>
      </c>
      <c r="BM27" t="n">
        <v>383983.745909668</v>
      </c>
      <c r="BN27" t="n">
        <v>9520371.20700661</v>
      </c>
      <c r="BO27" t="n">
        <v>17792519.0917782</v>
      </c>
      <c r="BP27" t="n">
        <v>4250913.62378656</v>
      </c>
      <c r="BQ27" t="n">
        <v>2853427.02317679</v>
      </c>
      <c r="BR27" t="n">
        <v>0</v>
      </c>
      <c r="BS27" t="n">
        <v>74859995.6647492</v>
      </c>
      <c r="BT27" t="n">
        <v>325999.817604149</v>
      </c>
      <c r="BU27" t="n">
        <v>1176375368.79543</v>
      </c>
      <c r="BV27" t="n">
        <v>0</v>
      </c>
      <c r="BW27" t="n">
        <v>1719023160.9948</v>
      </c>
      <c r="BX27" t="n">
        <v>0</v>
      </c>
      <c r="BY27" t="n">
        <v>0</v>
      </c>
      <c r="BZ27" t="n">
        <v>98051472.9291758</v>
      </c>
      <c r="CA27" t="n">
        <v>1214656924.06423</v>
      </c>
      <c r="CB27" t="n">
        <v>-2300657208.7598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311396.121105757</v>
      </c>
      <c r="CJ27" t="n">
        <v>0</v>
      </c>
      <c r="CK27" t="n">
        <v>0</v>
      </c>
      <c r="CL27" t="n">
        <v>0</v>
      </c>
      <c r="CM27" t="n">
        <v>12623619.2508532</v>
      </c>
      <c r="CN27" t="n">
        <v>0</v>
      </c>
    </row>
    <row r="28">
      <c r="A28" t="s">
        <v>139</v>
      </c>
      <c r="B28" t="n">
        <v>441479171.516121</v>
      </c>
      <c r="C28" t="n">
        <v>668400.78353382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406292.333891836</v>
      </c>
      <c r="J28" t="n">
        <v>5261404.75764439</v>
      </c>
      <c r="K28" t="n">
        <v>33515.309995234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201706.259755139</v>
      </c>
      <c r="T28" t="n">
        <v>2081131380.96502</v>
      </c>
      <c r="U28" t="n">
        <v>48578.1540838824</v>
      </c>
      <c r="V28" t="n">
        <v>1326363.96298957</v>
      </c>
      <c r="W28" t="n">
        <v>5566751.41609047</v>
      </c>
      <c r="X28" t="n">
        <v>8030161.27453234</v>
      </c>
      <c r="Y28" t="n">
        <v>5926405.43753788</v>
      </c>
      <c r="Z28" t="n">
        <v>24711745.6730399</v>
      </c>
      <c r="AA28" t="n">
        <v>2581398.21660315</v>
      </c>
      <c r="AB28" t="n">
        <v>27761977.6661036</v>
      </c>
      <c r="AC28" t="n">
        <v>9553.1918752847</v>
      </c>
      <c r="AD28" t="n">
        <v>25976429.8626195</v>
      </c>
      <c r="AE28" t="n">
        <v>10241407.4368276</v>
      </c>
      <c r="AF28" t="n">
        <v>15505852.7856962</v>
      </c>
      <c r="AG28" t="n">
        <v>8648665.80302587</v>
      </c>
      <c r="AH28" t="n">
        <v>29412.5269516491</v>
      </c>
      <c r="AI28" t="n">
        <v>3830040.04385998</v>
      </c>
      <c r="AJ28" t="n">
        <v>401886.161391263</v>
      </c>
      <c r="AK28" t="n">
        <v>0</v>
      </c>
      <c r="AL28" t="n">
        <v>0</v>
      </c>
      <c r="AM28" t="n">
        <v>54626.1918416225</v>
      </c>
      <c r="AN28" t="n">
        <v>0</v>
      </c>
      <c r="AO28" t="n">
        <v>323716.943239365</v>
      </c>
      <c r="AP28" t="n">
        <v>31583.9079406285</v>
      </c>
      <c r="AQ28" t="n">
        <v>0</v>
      </c>
      <c r="AR28" t="n">
        <v>840449.464856907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45889810.0013257</v>
      </c>
      <c r="BC28" t="n">
        <v>1484221.29975244</v>
      </c>
      <c r="BD28" t="n">
        <v>0</v>
      </c>
      <c r="BE28" t="n">
        <v>0</v>
      </c>
      <c r="BF28" t="n">
        <v>46958823.0228079</v>
      </c>
      <c r="BG28" t="n">
        <v>80444.9658336359</v>
      </c>
      <c r="BH28" t="n">
        <v>82528010.0935521</v>
      </c>
      <c r="BI28" t="n">
        <v>84922661.6002634</v>
      </c>
      <c r="BJ28" t="n">
        <v>232524067.689843</v>
      </c>
      <c r="BK28" t="n">
        <v>8108748.63426989</v>
      </c>
      <c r="BL28" t="n">
        <v>49943428.2273785</v>
      </c>
      <c r="BM28" t="n">
        <v>47299195.0670664</v>
      </c>
      <c r="BN28" t="n">
        <v>629536721.611935</v>
      </c>
      <c r="BO28" t="n">
        <v>14802636.199001</v>
      </c>
      <c r="BP28" t="n">
        <v>9566410.94025613</v>
      </c>
      <c r="BQ28" t="n">
        <v>243597.872170085</v>
      </c>
      <c r="BR28" t="n">
        <v>4077453.00732144</v>
      </c>
      <c r="BS28" t="n">
        <v>587798942.677442</v>
      </c>
      <c r="BT28" t="n">
        <v>0</v>
      </c>
      <c r="BU28" t="n">
        <v>5699343720.69339</v>
      </c>
      <c r="BV28" t="n">
        <v>0</v>
      </c>
      <c r="BW28" t="n">
        <v>0</v>
      </c>
      <c r="BX28" t="n">
        <v>0</v>
      </c>
      <c r="BY28" t="n">
        <v>0</v>
      </c>
      <c r="BZ28" t="n">
        <v>162879898.580093</v>
      </c>
      <c r="CA28" t="n">
        <v>1578499270.47667</v>
      </c>
      <c r="CB28" t="n">
        <v>-1733806732.83281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1242288.18430898</v>
      </c>
      <c r="C29" t="n">
        <v>140450.857061964</v>
      </c>
      <c r="D29" t="n">
        <v>0</v>
      </c>
      <c r="E29" t="n">
        <v>35889.2238375193</v>
      </c>
      <c r="F29" t="n">
        <v>0</v>
      </c>
      <c r="G29" t="n">
        <v>0</v>
      </c>
      <c r="H29" t="n">
        <v>12833059.1023622</v>
      </c>
      <c r="I29" t="n">
        <v>7327841.20037368</v>
      </c>
      <c r="J29" t="n">
        <v>2562564.50298084</v>
      </c>
      <c r="K29" t="n">
        <v>0</v>
      </c>
      <c r="L29" t="n">
        <v>5650.6700653924</v>
      </c>
      <c r="M29" t="n">
        <v>5446445.9716991</v>
      </c>
      <c r="N29" t="n">
        <v>12054.9959423796</v>
      </c>
      <c r="O29" t="n">
        <v>0</v>
      </c>
      <c r="P29" t="n">
        <v>5683851.68207239</v>
      </c>
      <c r="Q29" t="n">
        <v>3768009.41740897</v>
      </c>
      <c r="R29" t="n">
        <v>49966557.7963052</v>
      </c>
      <c r="S29" t="n">
        <v>25548204.1398214</v>
      </c>
      <c r="T29" t="n">
        <v>2464343.72387057</v>
      </c>
      <c r="U29" t="n">
        <v>28096777.1286851</v>
      </c>
      <c r="V29" t="n">
        <v>9525924.35653129</v>
      </c>
      <c r="W29" t="n">
        <v>31678014.2127246</v>
      </c>
      <c r="X29" t="n">
        <v>3661741.88193253</v>
      </c>
      <c r="Y29" t="n">
        <v>357207.020890505</v>
      </c>
      <c r="Z29" t="n">
        <v>10963.5476509829</v>
      </c>
      <c r="AA29" t="n">
        <v>34226077.1697233</v>
      </c>
      <c r="AB29" t="n">
        <v>29672650.9496061</v>
      </c>
      <c r="AC29" t="n">
        <v>337009.30379755</v>
      </c>
      <c r="AD29" t="n">
        <v>1178619.31201067</v>
      </c>
      <c r="AE29" t="n">
        <v>64775466.4269914</v>
      </c>
      <c r="AF29" t="n">
        <v>9147745.99296921</v>
      </c>
      <c r="AG29" t="n">
        <v>0</v>
      </c>
      <c r="AH29" t="n">
        <v>0</v>
      </c>
      <c r="AI29" t="n">
        <v>179764.594134266</v>
      </c>
      <c r="AJ29" t="n">
        <v>119747.612747613</v>
      </c>
      <c r="AK29" t="n">
        <v>0</v>
      </c>
      <c r="AL29" t="n">
        <v>8325.16984511622</v>
      </c>
      <c r="AM29" t="n">
        <v>213305.848208619</v>
      </c>
      <c r="AN29" t="n">
        <v>45911.8597031163</v>
      </c>
      <c r="AO29" t="n">
        <v>3403.01769651819</v>
      </c>
      <c r="AP29" t="n">
        <v>610619.552270736</v>
      </c>
      <c r="AQ29" t="n">
        <v>10934.2729841122</v>
      </c>
      <c r="AR29" t="n">
        <v>7651.8837318725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427745.567801916</v>
      </c>
      <c r="AY29" t="n">
        <v>646421.721417374</v>
      </c>
      <c r="AZ29" t="n">
        <v>0</v>
      </c>
      <c r="BA29" t="n">
        <v>0</v>
      </c>
      <c r="BB29" t="n">
        <v>3590561.51430855</v>
      </c>
      <c r="BC29" t="n">
        <v>197289.002884639</v>
      </c>
      <c r="BD29" t="n">
        <v>1720671.24191148</v>
      </c>
      <c r="BE29" t="n">
        <v>2496124.00183717</v>
      </c>
      <c r="BF29" t="n">
        <v>231963.342689946</v>
      </c>
      <c r="BG29" t="n">
        <v>1416087.85818061</v>
      </c>
      <c r="BH29" t="n">
        <v>8392458.90918361</v>
      </c>
      <c r="BI29" t="n">
        <v>62384226.5097069</v>
      </c>
      <c r="BJ29" t="n">
        <v>30318380.5453878</v>
      </c>
      <c r="BK29" t="n">
        <v>0</v>
      </c>
      <c r="BL29" t="n">
        <v>2437840.27577977</v>
      </c>
      <c r="BM29" t="n">
        <v>18396976.1805803</v>
      </c>
      <c r="BN29" t="n">
        <v>4447446.22252743</v>
      </c>
      <c r="BO29" t="n">
        <v>8071064.05795771</v>
      </c>
      <c r="BP29" t="n">
        <v>2796209.1232038</v>
      </c>
      <c r="BQ29" t="n">
        <v>1873348.29558591</v>
      </c>
      <c r="BR29" t="n">
        <v>6589.80007246838</v>
      </c>
      <c r="BS29" t="n">
        <v>32581465.294978</v>
      </c>
      <c r="BT29" t="n">
        <v>215197.804682392</v>
      </c>
      <c r="BU29" t="n">
        <v>238584870.286169</v>
      </c>
      <c r="BV29" t="n">
        <v>0</v>
      </c>
      <c r="BW29" t="n">
        <v>3757432.83222774</v>
      </c>
      <c r="BX29" t="n">
        <v>0</v>
      </c>
      <c r="BY29" t="n">
        <v>3828120.63153705</v>
      </c>
      <c r="BZ29" t="n">
        <v>3311209.27931961</v>
      </c>
      <c r="CA29" t="n">
        <v>149287454.214955</v>
      </c>
      <c r="CB29" t="n">
        <v>-631715529.226913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545745.728246221</v>
      </c>
      <c r="CJ29" t="n">
        <v>0</v>
      </c>
      <c r="CK29" t="n">
        <v>0</v>
      </c>
      <c r="CL29" t="n">
        <v>0</v>
      </c>
      <c r="CM29" t="n">
        <v>53918.9487825415</v>
      </c>
      <c r="CN29" t="n">
        <v>0</v>
      </c>
    </row>
    <row r="30">
      <c r="A30" t="s">
        <v>141</v>
      </c>
      <c r="B30" t="n">
        <v>1250784.54795234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6611235.32972396</v>
      </c>
      <c r="Q30" t="n">
        <v>0</v>
      </c>
      <c r="R30" t="n">
        <v>0</v>
      </c>
      <c r="S30" t="n">
        <v>6446978.57532252</v>
      </c>
      <c r="T30" t="n">
        <v>254927.959307398</v>
      </c>
      <c r="U30" t="n">
        <v>3382315.01589442</v>
      </c>
      <c r="V30" t="n">
        <v>13343626.1020568</v>
      </c>
      <c r="W30" t="n">
        <v>0</v>
      </c>
      <c r="X30" t="n">
        <v>120670132.889419</v>
      </c>
      <c r="Y30" t="n">
        <v>0</v>
      </c>
      <c r="Z30" t="n">
        <v>0</v>
      </c>
      <c r="AA30" t="n">
        <v>4088.31101273239</v>
      </c>
      <c r="AB30" t="n">
        <v>5871375.24812219</v>
      </c>
      <c r="AC30" t="n">
        <v>1462715.03547395</v>
      </c>
      <c r="AD30" t="n">
        <v>76046.0511515187</v>
      </c>
      <c r="AE30" t="n">
        <v>971058.050797525</v>
      </c>
      <c r="AF30" t="n">
        <v>3045014.34202037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1019651.8929888</v>
      </c>
      <c r="AP30" t="n">
        <v>71033.6327259194</v>
      </c>
      <c r="AQ30" t="n">
        <v>11851810.1055084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354380.975661845</v>
      </c>
      <c r="AZ30" t="n">
        <v>0</v>
      </c>
      <c r="BA30" t="n">
        <v>0</v>
      </c>
      <c r="BB30" t="n">
        <v>51863.0776366844</v>
      </c>
      <c r="BC30" t="n">
        <v>81260.1439632114</v>
      </c>
      <c r="BD30" t="n">
        <v>2089622.16359705</v>
      </c>
      <c r="BE30" t="n">
        <v>262662.043343584</v>
      </c>
      <c r="BF30" t="n">
        <v>812811.842326206</v>
      </c>
      <c r="BG30" t="n">
        <v>1384281.05005715</v>
      </c>
      <c r="BH30" t="n">
        <v>2365709.15900351</v>
      </c>
      <c r="BI30" t="n">
        <v>0</v>
      </c>
      <c r="BJ30" t="n">
        <v>12629957.3598211</v>
      </c>
      <c r="BK30" t="n">
        <v>881823.024352281</v>
      </c>
      <c r="BL30" t="n">
        <v>832653.851919978</v>
      </c>
      <c r="BM30" t="n">
        <v>303218.030211135</v>
      </c>
      <c r="BN30" t="n">
        <v>7274332.07465648</v>
      </c>
      <c r="BO30" t="n">
        <v>24739317.7234836</v>
      </c>
      <c r="BP30" t="n">
        <v>1985959.26394747</v>
      </c>
      <c r="BQ30" t="n">
        <v>634178.194594252</v>
      </c>
      <c r="BR30" t="n">
        <v>364666.347921665</v>
      </c>
      <c r="BS30" t="n">
        <v>40873687.6707249</v>
      </c>
      <c r="BT30" t="n">
        <v>68008.454572322</v>
      </c>
      <c r="BU30" t="n">
        <v>2299145317.74749</v>
      </c>
      <c r="BV30" t="n">
        <v>0</v>
      </c>
      <c r="BW30" t="n">
        <v>0</v>
      </c>
      <c r="BX30" t="n">
        <v>0</v>
      </c>
      <c r="BY30" t="n">
        <v>0</v>
      </c>
      <c r="BZ30" t="n">
        <v>-5069314.91465841</v>
      </c>
      <c r="CA30" t="n">
        <v>46268117.9864909</v>
      </c>
      <c r="CB30" t="n">
        <v>-2520358093.32178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9123644.21790244</v>
      </c>
      <c r="C31" t="n">
        <v>0</v>
      </c>
      <c r="D31" t="n">
        <v>7092.96498184605</v>
      </c>
      <c r="E31" t="n">
        <v>3402482.35683114</v>
      </c>
      <c r="F31" t="n">
        <v>8498.5788095257</v>
      </c>
      <c r="G31" t="n">
        <v>219441.533912184</v>
      </c>
      <c r="H31" t="n">
        <v>32922621.5124867</v>
      </c>
      <c r="I31" t="n">
        <v>20444371.3305666</v>
      </c>
      <c r="J31" t="n">
        <v>18007068.0585361</v>
      </c>
      <c r="K31" t="n">
        <v>9416272.76908726</v>
      </c>
      <c r="L31" t="n">
        <v>33561544.7998202</v>
      </c>
      <c r="M31" t="n">
        <v>32702246.1283535</v>
      </c>
      <c r="N31" t="n">
        <v>11357231.8399991</v>
      </c>
      <c r="O31" t="n">
        <v>14206255.5111425</v>
      </c>
      <c r="P31" t="n">
        <v>16491158.9609534</v>
      </c>
      <c r="Q31" t="n">
        <v>2058832.8107684</v>
      </c>
      <c r="R31" t="n">
        <v>21447579.1439911</v>
      </c>
      <c r="S31" t="n">
        <v>64598296.4718077</v>
      </c>
      <c r="T31" t="n">
        <v>316868896.092527</v>
      </c>
      <c r="U31" t="n">
        <v>1818738.39352881</v>
      </c>
      <c r="V31" t="n">
        <v>118541.796139176</v>
      </c>
      <c r="W31" t="n">
        <v>740832144.20911</v>
      </c>
      <c r="X31" t="n">
        <v>306173076.059722</v>
      </c>
      <c r="Y31" t="n">
        <v>4499578.60687793</v>
      </c>
      <c r="Z31" t="n">
        <v>29964713.980108</v>
      </c>
      <c r="AA31" t="n">
        <v>54493359.2723466</v>
      </c>
      <c r="AB31" t="n">
        <v>92415250.5850374</v>
      </c>
      <c r="AC31" t="n">
        <v>1764579.75076731</v>
      </c>
      <c r="AD31" t="n">
        <v>13763192.1060003</v>
      </c>
      <c r="AE31" t="n">
        <v>5205233.56850621</v>
      </c>
      <c r="AF31" t="n">
        <v>13000462.9316128</v>
      </c>
      <c r="AG31" t="n">
        <v>623216.031323477</v>
      </c>
      <c r="AH31" t="n">
        <v>1595706.06275847</v>
      </c>
      <c r="AI31" t="n">
        <v>34875.7704647468</v>
      </c>
      <c r="AJ31" t="n">
        <v>2436395.27575112</v>
      </c>
      <c r="AK31" t="n">
        <v>18074636.0450995</v>
      </c>
      <c r="AL31" t="n">
        <v>324726.071787911</v>
      </c>
      <c r="AM31" t="n">
        <v>13560418.1589891</v>
      </c>
      <c r="AN31" t="n">
        <v>1447781.10869173</v>
      </c>
      <c r="AO31" t="n">
        <v>17978119.1492885</v>
      </c>
      <c r="AP31" t="n">
        <v>147803.766790439</v>
      </c>
      <c r="AQ31" t="n">
        <v>2098105.81371343</v>
      </c>
      <c r="AR31" t="n">
        <v>1203513.49625342</v>
      </c>
      <c r="AS31" t="n">
        <v>11052410.9025976</v>
      </c>
      <c r="AT31" t="n">
        <v>3108638.80599037</v>
      </c>
      <c r="AU31" t="n">
        <v>14777157.6815365</v>
      </c>
      <c r="AV31" t="n">
        <v>38988.4262045695</v>
      </c>
      <c r="AW31" t="n">
        <v>0</v>
      </c>
      <c r="AX31" t="n">
        <v>5628200.46140934</v>
      </c>
      <c r="AY31" t="n">
        <v>2876046.59352248</v>
      </c>
      <c r="AZ31" t="n">
        <v>3088702.98801412</v>
      </c>
      <c r="BA31" t="n">
        <v>5050718.44520385</v>
      </c>
      <c r="BB31" t="n">
        <v>26217597.7813972</v>
      </c>
      <c r="BC31" t="n">
        <v>25425988.9434473</v>
      </c>
      <c r="BD31" t="n">
        <v>42720855.3702857</v>
      </c>
      <c r="BE31" t="n">
        <v>3558620.14308653</v>
      </c>
      <c r="BF31" t="n">
        <v>2468529.76373091</v>
      </c>
      <c r="BG31" t="n">
        <v>16828401.1673733</v>
      </c>
      <c r="BH31" t="n">
        <v>21270628.4862262</v>
      </c>
      <c r="BI31" t="n">
        <v>15161369.7080562</v>
      </c>
      <c r="BJ31" t="n">
        <v>18013106.1069431</v>
      </c>
      <c r="BK31" t="n">
        <v>631026.645134805</v>
      </c>
      <c r="BL31" t="n">
        <v>1545639.2944153</v>
      </c>
      <c r="BM31" t="n">
        <v>22285407.4477542</v>
      </c>
      <c r="BN31" t="n">
        <v>43423564.5548684</v>
      </c>
      <c r="BO31" t="n">
        <v>10283659.3763062</v>
      </c>
      <c r="BP31" t="n">
        <v>1145369.50507921</v>
      </c>
      <c r="BQ31" t="n">
        <v>10981116.3831791</v>
      </c>
      <c r="BR31" t="n">
        <v>893583.231975947</v>
      </c>
      <c r="BS31" t="n">
        <v>125625567.891582</v>
      </c>
      <c r="BT31" t="n">
        <v>240918.586604756</v>
      </c>
      <c r="BU31" t="n">
        <v>191852529.847318</v>
      </c>
      <c r="BV31" t="n">
        <v>0</v>
      </c>
      <c r="BW31" t="n">
        <v>0</v>
      </c>
      <c r="BX31" t="n">
        <v>0</v>
      </c>
      <c r="BY31" t="n">
        <v>0</v>
      </c>
      <c r="BZ31" t="n">
        <v>20547020.0023193</v>
      </c>
      <c r="CA31" t="n">
        <v>768394546.596804</v>
      </c>
      <c r="CB31" t="n">
        <v>-593294328.287932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311327.968192267</v>
      </c>
      <c r="C32" t="n">
        <v>0</v>
      </c>
      <c r="D32" t="n">
        <v>845.276054443212</v>
      </c>
      <c r="E32" t="n">
        <v>58964.3518415792</v>
      </c>
      <c r="F32" t="n">
        <v>0</v>
      </c>
      <c r="G32" t="n">
        <v>113069.555214043</v>
      </c>
      <c r="H32" t="n">
        <v>621567.84427152</v>
      </c>
      <c r="I32" t="n">
        <v>114280.440615447</v>
      </c>
      <c r="J32" t="n">
        <v>0</v>
      </c>
      <c r="K32" t="n">
        <v>0</v>
      </c>
      <c r="L32" t="n">
        <v>276144.94193857</v>
      </c>
      <c r="M32" t="n">
        <v>98154.7006638312</v>
      </c>
      <c r="N32" t="n">
        <v>0</v>
      </c>
      <c r="O32" t="n">
        <v>34034.0297375218</v>
      </c>
      <c r="P32" t="n">
        <v>19816.4117824411</v>
      </c>
      <c r="Q32" t="n">
        <v>0</v>
      </c>
      <c r="R32" t="n">
        <v>0</v>
      </c>
      <c r="S32" t="n">
        <v>0</v>
      </c>
      <c r="T32" t="n">
        <v>900235.954500016</v>
      </c>
      <c r="U32" t="n">
        <v>0</v>
      </c>
      <c r="V32" t="n">
        <v>11947.6710496606</v>
      </c>
      <c r="W32" t="n">
        <v>0</v>
      </c>
      <c r="X32" t="n">
        <v>50625083.4926435</v>
      </c>
      <c r="Y32" t="n">
        <v>31079.2316989944</v>
      </c>
      <c r="Z32" t="n">
        <v>935371.23615404</v>
      </c>
      <c r="AA32" t="n">
        <v>0</v>
      </c>
      <c r="AB32" t="n">
        <v>176127336.393281</v>
      </c>
      <c r="AC32" t="n">
        <v>2830670.85212688</v>
      </c>
      <c r="AD32" t="n">
        <v>2515773.56760318</v>
      </c>
      <c r="AE32" t="n">
        <v>2966581.77390039</v>
      </c>
      <c r="AF32" t="n">
        <v>66789425.7749747</v>
      </c>
      <c r="AG32" t="n">
        <v>163163.481735797</v>
      </c>
      <c r="AH32" t="n">
        <v>226188.118108632</v>
      </c>
      <c r="AI32" t="n">
        <v>0</v>
      </c>
      <c r="AJ32" t="n">
        <v>3902809.16933098</v>
      </c>
      <c r="AK32" t="n">
        <v>1524449.61790686</v>
      </c>
      <c r="AL32" t="n">
        <v>59856.6565287234</v>
      </c>
      <c r="AM32" t="n">
        <v>2288561.02648061</v>
      </c>
      <c r="AN32" t="n">
        <v>124169.147802914</v>
      </c>
      <c r="AO32" t="n">
        <v>49453430.8281415</v>
      </c>
      <c r="AP32" t="n">
        <v>2230421.22287131</v>
      </c>
      <c r="AQ32" t="n">
        <v>4672636.16704866</v>
      </c>
      <c r="AR32" t="n">
        <v>26954919.8984335</v>
      </c>
      <c r="AS32" t="n">
        <v>16898582.7691413</v>
      </c>
      <c r="AT32" t="n">
        <v>14669528.4268734</v>
      </c>
      <c r="AU32" t="n">
        <v>74252692.1962029</v>
      </c>
      <c r="AV32" t="n">
        <v>0</v>
      </c>
      <c r="AW32" t="n">
        <v>0</v>
      </c>
      <c r="AX32" t="n">
        <v>1080514.00302021</v>
      </c>
      <c r="AY32" t="n">
        <v>1980119.30855927</v>
      </c>
      <c r="AZ32" t="n">
        <v>7720932.3478313</v>
      </c>
      <c r="BA32" t="n">
        <v>4149541.6106297</v>
      </c>
      <c r="BB32" t="n">
        <v>74271608.3868307</v>
      </c>
      <c r="BC32" t="n">
        <v>28884014.2173906</v>
      </c>
      <c r="BD32" t="n">
        <v>35890087.4362841</v>
      </c>
      <c r="BE32" t="n">
        <v>218610.266925777</v>
      </c>
      <c r="BF32" t="n">
        <v>8363866.37667821</v>
      </c>
      <c r="BG32" t="n">
        <v>29148952.1188269</v>
      </c>
      <c r="BH32" t="n">
        <v>67610829.2822467</v>
      </c>
      <c r="BI32" t="n">
        <v>3211213.63847992</v>
      </c>
      <c r="BJ32" t="n">
        <v>35649143.6031095</v>
      </c>
      <c r="BK32" t="n">
        <v>8003819.3077793</v>
      </c>
      <c r="BL32" t="n">
        <v>2575326.64516421</v>
      </c>
      <c r="BM32" t="n">
        <v>8129878.4678381</v>
      </c>
      <c r="BN32" t="n">
        <v>11667604.406868</v>
      </c>
      <c r="BO32" t="n">
        <v>17978880.1143431</v>
      </c>
      <c r="BP32" t="n">
        <v>2279900.16162573</v>
      </c>
      <c r="BQ32" t="n">
        <v>10400781.0001225</v>
      </c>
      <c r="BR32" t="n">
        <v>401330.159197783</v>
      </c>
      <c r="BS32" t="n">
        <v>118089214.470437</v>
      </c>
      <c r="BT32" t="n">
        <v>3595932.14632231</v>
      </c>
      <c r="BU32" t="n">
        <v>33539562.7008769</v>
      </c>
      <c r="BV32" t="n">
        <v>0</v>
      </c>
      <c r="BW32" t="n">
        <v>0</v>
      </c>
      <c r="BX32" t="n">
        <v>0</v>
      </c>
      <c r="BY32" t="n">
        <v>0</v>
      </c>
      <c r="BZ32" t="n">
        <v>6681287.29051221</v>
      </c>
      <c r="CA32" t="n">
        <v>54343922.577959</v>
      </c>
      <c r="CB32" t="n">
        <v>-46840928.1355245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209724615.277695</v>
      </c>
      <c r="C33" t="n">
        <v>1593622.47035131</v>
      </c>
      <c r="D33" t="n">
        <v>578274.242403231</v>
      </c>
      <c r="E33" t="n">
        <v>96859842.8984138</v>
      </c>
      <c r="F33" t="n">
        <v>384587.406259817</v>
      </c>
      <c r="G33" t="n">
        <v>216818116.609138</v>
      </c>
      <c r="H33" t="n">
        <v>594395587.566598</v>
      </c>
      <c r="I33" t="n">
        <v>22625595.8751278</v>
      </c>
      <c r="J33" t="n">
        <v>9112084.22541262</v>
      </c>
      <c r="K33" t="n">
        <v>14062775.3289385</v>
      </c>
      <c r="L33" t="n">
        <v>28722343.5117724</v>
      </c>
      <c r="M33" t="n">
        <v>20478520.7830418</v>
      </c>
      <c r="N33" t="n">
        <v>4039483.92599362</v>
      </c>
      <c r="O33" t="n">
        <v>9608436.49561206</v>
      </c>
      <c r="P33" t="n">
        <v>2059473.38767292</v>
      </c>
      <c r="Q33" t="n">
        <v>1004406.51766426</v>
      </c>
      <c r="R33" t="n">
        <v>5621522.43954558</v>
      </c>
      <c r="S33" t="n">
        <v>39050236.9857897</v>
      </c>
      <c r="T33" t="n">
        <v>47107589.5118403</v>
      </c>
      <c r="U33" t="n">
        <v>461660.584779221</v>
      </c>
      <c r="V33" t="n">
        <v>41961.8078379064</v>
      </c>
      <c r="W33" t="n">
        <v>32275874.7158237</v>
      </c>
      <c r="X33" t="n">
        <v>21594044.0598828</v>
      </c>
      <c r="Y33" t="n">
        <v>326986637.057686</v>
      </c>
      <c r="Z33" t="n">
        <v>64933761.5807004</v>
      </c>
      <c r="AA33" t="n">
        <v>12103019.9821982</v>
      </c>
      <c r="AB33" t="n">
        <v>73654897.9729974</v>
      </c>
      <c r="AC33" t="n">
        <v>11510775.3428989</v>
      </c>
      <c r="AD33" t="n">
        <v>6762578.19855515</v>
      </c>
      <c r="AE33" t="n">
        <v>4365827.8255643</v>
      </c>
      <c r="AF33" t="n">
        <v>21098359.0052364</v>
      </c>
      <c r="AG33" t="n">
        <v>580125123.885072</v>
      </c>
      <c r="AH33" t="n">
        <v>111784857.730646</v>
      </c>
      <c r="AI33" t="n">
        <v>54288158.5638044</v>
      </c>
      <c r="AJ33" t="n">
        <v>282434048.655226</v>
      </c>
      <c r="AK33" t="n">
        <v>32487649.6539398</v>
      </c>
      <c r="AL33" t="n">
        <v>1256662.15878836</v>
      </c>
      <c r="AM33" t="n">
        <v>109506036.217183</v>
      </c>
      <c r="AN33" t="n">
        <v>31709238.9165223</v>
      </c>
      <c r="AO33" t="n">
        <v>5458907.03863175</v>
      </c>
      <c r="AP33" t="n">
        <v>288071.010005531</v>
      </c>
      <c r="AQ33" t="n">
        <v>5362822.67847208</v>
      </c>
      <c r="AR33" t="n">
        <v>4193040.27734527</v>
      </c>
      <c r="AS33" t="n">
        <v>71462723.2371316</v>
      </c>
      <c r="AT33" t="n">
        <v>36060392.3990359</v>
      </c>
      <c r="AU33" t="n">
        <v>1451030.17130034</v>
      </c>
      <c r="AV33" t="n">
        <v>22699334.6576949</v>
      </c>
      <c r="AW33" t="n">
        <v>458353.766805992</v>
      </c>
      <c r="AX33" t="n">
        <v>44768607.4908755</v>
      </c>
      <c r="AY33" t="n">
        <v>8062549.15010218</v>
      </c>
      <c r="AZ33" t="n">
        <v>649619.20278788</v>
      </c>
      <c r="BA33" t="n">
        <v>15365107.5741157</v>
      </c>
      <c r="BB33" t="n">
        <v>26426942.6157289</v>
      </c>
      <c r="BC33" t="n">
        <v>25641380.6339265</v>
      </c>
      <c r="BD33" t="n">
        <v>58549882.6707977</v>
      </c>
      <c r="BE33" t="n">
        <v>20102647.9729477</v>
      </c>
      <c r="BF33" t="n">
        <v>14878461.3464124</v>
      </c>
      <c r="BG33" t="n">
        <v>15223481.2467128</v>
      </c>
      <c r="BH33" t="n">
        <v>24540932.4727534</v>
      </c>
      <c r="BI33" t="n">
        <v>19815091.3289083</v>
      </c>
      <c r="BJ33" t="n">
        <v>17106995.4274848</v>
      </c>
      <c r="BK33" t="n">
        <v>2656295.63331996</v>
      </c>
      <c r="BL33" t="n">
        <v>9774417.2051215</v>
      </c>
      <c r="BM33" t="n">
        <v>8456977.24271238</v>
      </c>
      <c r="BN33" t="n">
        <v>44390086.0418665</v>
      </c>
      <c r="BO33" t="n">
        <v>34839588.9529808</v>
      </c>
      <c r="BP33" t="n">
        <v>50684369.4752509</v>
      </c>
      <c r="BQ33" t="n">
        <v>7546753.30855091</v>
      </c>
      <c r="BR33" t="n">
        <v>11346097.6506091</v>
      </c>
      <c r="BS33" t="n">
        <v>1133110776.92985</v>
      </c>
      <c r="BT33" t="n">
        <v>185678902.640251</v>
      </c>
      <c r="BU33" t="n">
        <v>2796366523.05163</v>
      </c>
      <c r="BV33" t="n">
        <v>0</v>
      </c>
      <c r="BW33" t="n">
        <v>0</v>
      </c>
      <c r="BX33" t="n">
        <v>0</v>
      </c>
      <c r="BY33" t="n">
        <v>0</v>
      </c>
      <c r="BZ33" t="n">
        <v>63130223.9595193</v>
      </c>
      <c r="CA33" t="n">
        <v>346227588.232157</v>
      </c>
      <c r="CB33" t="n">
        <v>-1239198405.05274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407361213.27929</v>
      </c>
      <c r="C34" t="n">
        <v>5759928.28659168</v>
      </c>
      <c r="D34" t="n">
        <v>550556.546736364</v>
      </c>
      <c r="E34" t="n">
        <v>39488067.3181923</v>
      </c>
      <c r="F34" t="n">
        <v>213371.262572575</v>
      </c>
      <c r="G34" t="n">
        <v>10516477.2484285</v>
      </c>
      <c r="H34" t="n">
        <v>153380043.097259</v>
      </c>
      <c r="I34" t="n">
        <v>66733284.3152952</v>
      </c>
      <c r="J34" t="n">
        <v>45455145.1625193</v>
      </c>
      <c r="K34" t="n">
        <v>9495612.93461829</v>
      </c>
      <c r="L34" t="n">
        <v>107528114.294303</v>
      </c>
      <c r="M34" t="n">
        <v>44147657.9324473</v>
      </c>
      <c r="N34" t="n">
        <v>44350451.6394809</v>
      </c>
      <c r="O34" t="n">
        <v>27573108.3038129</v>
      </c>
      <c r="P34" t="n">
        <v>40033799.6716499</v>
      </c>
      <c r="Q34" t="n">
        <v>5264812.76361639</v>
      </c>
      <c r="R34" t="n">
        <v>30751633.3393445</v>
      </c>
      <c r="S34" t="n">
        <v>221602243.05785</v>
      </c>
      <c r="T34" t="n">
        <v>108146913.233728</v>
      </c>
      <c r="U34" t="n">
        <v>56688113.9921579</v>
      </c>
      <c r="V34" t="n">
        <v>678225.008311642</v>
      </c>
      <c r="W34" t="n">
        <v>138922896.761198</v>
      </c>
      <c r="X34" t="n">
        <v>100513532.619839</v>
      </c>
      <c r="Y34" t="n">
        <v>438059751.043863</v>
      </c>
      <c r="Z34" t="n">
        <v>1117036529.29533</v>
      </c>
      <c r="AA34" t="n">
        <v>813737475.337306</v>
      </c>
      <c r="AB34" t="n">
        <v>25568245.9296752</v>
      </c>
      <c r="AC34" t="n">
        <v>1632817.61044148</v>
      </c>
      <c r="AD34" t="n">
        <v>980739.627819197</v>
      </c>
      <c r="AE34" t="n">
        <v>600386.579711997</v>
      </c>
      <c r="AF34" t="n">
        <v>7087309.62335084</v>
      </c>
      <c r="AG34" t="n">
        <v>26563.4313517898</v>
      </c>
      <c r="AH34" t="n">
        <v>3755295.29031733</v>
      </c>
      <c r="AI34" t="n">
        <v>57142.6162078078</v>
      </c>
      <c r="AJ34" t="n">
        <v>3049934.4998948</v>
      </c>
      <c r="AK34" t="n">
        <v>228140.192573613</v>
      </c>
      <c r="AL34" t="n">
        <v>18189.6537088103</v>
      </c>
      <c r="AM34" t="n">
        <v>478922.590902484</v>
      </c>
      <c r="AN34" t="n">
        <v>2503185.20816949</v>
      </c>
      <c r="AO34" t="n">
        <v>3853873.93066298</v>
      </c>
      <c r="AP34" t="n">
        <v>793339.969596554</v>
      </c>
      <c r="AQ34" t="n">
        <v>6228222.8272754</v>
      </c>
      <c r="AR34" t="n">
        <v>4420871.01951324</v>
      </c>
      <c r="AS34" t="n">
        <v>713882.499933435</v>
      </c>
      <c r="AT34" t="n">
        <v>603995.495310181</v>
      </c>
      <c r="AU34" t="n">
        <v>1065340.26341874</v>
      </c>
      <c r="AV34" t="n">
        <v>0</v>
      </c>
      <c r="AW34" t="n">
        <v>3886311.73857403</v>
      </c>
      <c r="AX34" t="n">
        <v>75094511.3379532</v>
      </c>
      <c r="AY34" t="n">
        <v>467608.459313698</v>
      </c>
      <c r="AZ34" t="n">
        <v>994196.580773648</v>
      </c>
      <c r="BA34" t="n">
        <v>2813627.31916506</v>
      </c>
      <c r="BB34" t="n">
        <v>306904800.660037</v>
      </c>
      <c r="BC34" t="n">
        <v>37550093.4848395</v>
      </c>
      <c r="BD34" t="n">
        <v>87107243.0189483</v>
      </c>
      <c r="BE34" t="n">
        <v>19061181.8787584</v>
      </c>
      <c r="BF34" t="n">
        <v>7070224.02475875</v>
      </c>
      <c r="BG34" t="n">
        <v>517829581.219346</v>
      </c>
      <c r="BH34" t="n">
        <v>192389300.423177</v>
      </c>
      <c r="BI34" t="n">
        <v>64759294.4486686</v>
      </c>
      <c r="BJ34" t="n">
        <v>8569530.50976119</v>
      </c>
      <c r="BK34" t="n">
        <v>3176298.09282752</v>
      </c>
      <c r="BL34" t="n">
        <v>7929957.96483427</v>
      </c>
      <c r="BM34" t="n">
        <v>682453.394618702</v>
      </c>
      <c r="BN34" t="n">
        <v>11783841.2042265</v>
      </c>
      <c r="BO34" t="n">
        <v>63012641.702118</v>
      </c>
      <c r="BP34" t="n">
        <v>11525147.506635</v>
      </c>
      <c r="BQ34" t="n">
        <v>14674001.2129096</v>
      </c>
      <c r="BR34" t="n">
        <v>566128.773853599</v>
      </c>
      <c r="BS34" t="n">
        <v>354417616.770412</v>
      </c>
      <c r="BT34" t="n">
        <v>15706105.6040801</v>
      </c>
      <c r="BU34" t="n">
        <v>3005589377.539</v>
      </c>
      <c r="BV34" t="n">
        <v>0</v>
      </c>
      <c r="BW34" t="n">
        <v>13906326.4489181</v>
      </c>
      <c r="BX34" t="n">
        <v>0</v>
      </c>
      <c r="BY34" t="n">
        <v>0</v>
      </c>
      <c r="BZ34" t="n">
        <v>80665025.0195346</v>
      </c>
      <c r="CA34" t="n">
        <v>1499312873.55667</v>
      </c>
      <c r="CB34" t="n">
        <v>-3856153251.38156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29072780.5696174</v>
      </c>
      <c r="C35" t="n">
        <v>211641.915135996</v>
      </c>
      <c r="D35" t="n">
        <v>7135.2380083386</v>
      </c>
      <c r="E35" t="n">
        <v>29409933.1099336</v>
      </c>
      <c r="F35" t="n">
        <v>117844.858485631</v>
      </c>
      <c r="G35" t="n">
        <v>209399.197047199</v>
      </c>
      <c r="H35" t="n">
        <v>306391071.229217</v>
      </c>
      <c r="I35" t="n">
        <v>21471303.7631437</v>
      </c>
      <c r="J35" t="n">
        <v>11178682.5200737</v>
      </c>
      <c r="K35" t="n">
        <v>3608117.38188027</v>
      </c>
      <c r="L35" t="n">
        <v>37538946.7221744</v>
      </c>
      <c r="M35" t="n">
        <v>162654706.427007</v>
      </c>
      <c r="N35" t="n">
        <v>45819320.2144088</v>
      </c>
      <c r="O35" t="n">
        <v>22519818.7012087</v>
      </c>
      <c r="P35" t="n">
        <v>72710836.0504977</v>
      </c>
      <c r="Q35" t="n">
        <v>11278358.9584176</v>
      </c>
      <c r="R35" t="n">
        <v>41098577.7668044</v>
      </c>
      <c r="S35" t="n">
        <v>135354574.140144</v>
      </c>
      <c r="T35" t="n">
        <v>209055791.469223</v>
      </c>
      <c r="U35" t="n">
        <v>1583338.35089261</v>
      </c>
      <c r="V35" t="n">
        <v>502322.570648134</v>
      </c>
      <c r="W35" t="n">
        <v>37189035.6562919</v>
      </c>
      <c r="X35" t="n">
        <v>75587610.3317205</v>
      </c>
      <c r="Y35" t="n">
        <v>6774878.89949427</v>
      </c>
      <c r="Z35" t="n">
        <v>43459127.7309949</v>
      </c>
      <c r="AA35" t="n">
        <v>208458663.019306</v>
      </c>
      <c r="AB35" t="n">
        <v>210731416.92471</v>
      </c>
      <c r="AC35" t="n">
        <v>9680350.37027032</v>
      </c>
      <c r="AD35" t="n">
        <v>14633631.3984157</v>
      </c>
      <c r="AE35" t="n">
        <v>4974421.63036826</v>
      </c>
      <c r="AF35" t="n">
        <v>31491037.941364</v>
      </c>
      <c r="AG35" t="n">
        <v>11251965.7876287</v>
      </c>
      <c r="AH35" t="n">
        <v>59669.5630948509</v>
      </c>
      <c r="AI35" t="n">
        <v>0</v>
      </c>
      <c r="AJ35" t="n">
        <v>12049300.4288829</v>
      </c>
      <c r="AK35" t="n">
        <v>741803.110363833</v>
      </c>
      <c r="AL35" t="n">
        <v>725571.127887881</v>
      </c>
      <c r="AM35" t="n">
        <v>11351018.7704488</v>
      </c>
      <c r="AN35" t="n">
        <v>2075668.14193057</v>
      </c>
      <c r="AO35" t="n">
        <v>2460043.19398616</v>
      </c>
      <c r="AP35" t="n">
        <v>177895.233644704</v>
      </c>
      <c r="AQ35" t="n">
        <v>28908868.5240457</v>
      </c>
      <c r="AR35" t="n">
        <v>2810178.34140986</v>
      </c>
      <c r="AS35" t="n">
        <v>512292.978134247</v>
      </c>
      <c r="AT35" t="n">
        <v>845064.063930418</v>
      </c>
      <c r="AU35" t="n">
        <v>13689705.8319757</v>
      </c>
      <c r="AV35" t="n">
        <v>0</v>
      </c>
      <c r="AW35" t="n">
        <v>96604.7322788609</v>
      </c>
      <c r="AX35" t="n">
        <v>3279781.23830578</v>
      </c>
      <c r="AY35" t="n">
        <v>6607534.9332421</v>
      </c>
      <c r="AZ35" t="n">
        <v>193659.041696061</v>
      </c>
      <c r="BA35" t="n">
        <v>15618411.0561741</v>
      </c>
      <c r="BB35" t="n">
        <v>62323813.761522</v>
      </c>
      <c r="BC35" t="n">
        <v>2171489.39230273</v>
      </c>
      <c r="BD35" t="n">
        <v>16811194.2664896</v>
      </c>
      <c r="BE35" t="n">
        <v>3754562.43142602</v>
      </c>
      <c r="BF35" t="n">
        <v>5500605.76160689</v>
      </c>
      <c r="BG35" t="n">
        <v>92160711.1535172</v>
      </c>
      <c r="BH35" t="n">
        <v>57307508.8702952</v>
      </c>
      <c r="BI35" t="n">
        <v>25176442.1392424</v>
      </c>
      <c r="BJ35" t="n">
        <v>19946124.7822263</v>
      </c>
      <c r="BK35" t="n">
        <v>365061.521282393</v>
      </c>
      <c r="BL35" t="n">
        <v>2094065.31249487</v>
      </c>
      <c r="BM35" t="n">
        <v>971288.914533989</v>
      </c>
      <c r="BN35" t="n">
        <v>51819712.3756426</v>
      </c>
      <c r="BO35" t="n">
        <v>31192988.8709792</v>
      </c>
      <c r="BP35" t="n">
        <v>9638719.5751266</v>
      </c>
      <c r="BQ35" t="n">
        <v>4687176.51547468</v>
      </c>
      <c r="BR35" t="n">
        <v>197714.7404882</v>
      </c>
      <c r="BS35" t="n">
        <v>120449223.754395</v>
      </c>
      <c r="BT35" t="n">
        <v>18832400.1482425</v>
      </c>
      <c r="BU35" t="n">
        <v>380118110.866664</v>
      </c>
      <c r="BV35" t="n">
        <v>0</v>
      </c>
      <c r="BW35" t="n">
        <v>3745373.64763903</v>
      </c>
      <c r="BX35" t="n">
        <v>0</v>
      </c>
      <c r="BY35" t="n">
        <v>227749.710446165</v>
      </c>
      <c r="BZ35" t="n">
        <v>30877443.1281717</v>
      </c>
      <c r="CA35" t="n">
        <v>563066258.34113</v>
      </c>
      <c r="CB35" t="n">
        <v>-1053573144.96419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90704.8894863399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329909773.700545</v>
      </c>
      <c r="C36" t="n">
        <v>3557049.52927424</v>
      </c>
      <c r="D36" t="n">
        <v>313205.103898394</v>
      </c>
      <c r="E36" t="n">
        <v>41037652.0760667</v>
      </c>
      <c r="F36" t="n">
        <v>192335.287030764</v>
      </c>
      <c r="G36" t="n">
        <v>31291109.8523791</v>
      </c>
      <c r="H36" t="n">
        <v>484942520.687431</v>
      </c>
      <c r="I36" t="n">
        <v>90628984.3643963</v>
      </c>
      <c r="J36" t="n">
        <v>34640076.623894</v>
      </c>
      <c r="K36" t="n">
        <v>73422809.6036285</v>
      </c>
      <c r="L36" t="n">
        <v>153314649.79411</v>
      </c>
      <c r="M36" t="n">
        <v>224010019.205289</v>
      </c>
      <c r="N36" t="n">
        <v>107110962.333281</v>
      </c>
      <c r="O36" t="n">
        <v>54306448.9971088</v>
      </c>
      <c r="P36" t="n">
        <v>108094037.728219</v>
      </c>
      <c r="Q36" t="n">
        <v>24464403.2206047</v>
      </c>
      <c r="R36" t="n">
        <v>42710289.6959778</v>
      </c>
      <c r="S36" t="n">
        <v>137755322.286097</v>
      </c>
      <c r="T36" t="n">
        <v>478600295.522705</v>
      </c>
      <c r="U36" t="n">
        <v>7142343.44206132</v>
      </c>
      <c r="V36" t="n">
        <v>3765979.57504229</v>
      </c>
      <c r="W36" t="n">
        <v>97247174.5184631</v>
      </c>
      <c r="X36" t="n">
        <v>61557557.8338009</v>
      </c>
      <c r="Y36" t="n">
        <v>127486607.969529</v>
      </c>
      <c r="Z36" t="n">
        <v>124633757.325542</v>
      </c>
      <c r="AA36" t="n">
        <v>105984165.362494</v>
      </c>
      <c r="AB36" t="n">
        <v>347147268.248508</v>
      </c>
      <c r="AC36" t="n">
        <v>20517774.4262838</v>
      </c>
      <c r="AD36" t="n">
        <v>14135436.951153</v>
      </c>
      <c r="AE36" t="n">
        <v>16361392.7516006</v>
      </c>
      <c r="AF36" t="n">
        <v>76640277.1679718</v>
      </c>
      <c r="AG36" t="n">
        <v>27335273.1210749</v>
      </c>
      <c r="AH36" t="n">
        <v>18733211.4070947</v>
      </c>
      <c r="AI36" t="n">
        <v>7598332.69765485</v>
      </c>
      <c r="AJ36" t="n">
        <v>54333357.3729262</v>
      </c>
      <c r="AK36" t="n">
        <v>6861039.17258726</v>
      </c>
      <c r="AL36" t="n">
        <v>1204200.18313548</v>
      </c>
      <c r="AM36" t="n">
        <v>20317082.9586456</v>
      </c>
      <c r="AN36" t="n">
        <v>7816017.53632843</v>
      </c>
      <c r="AO36" t="n">
        <v>49592169.2780712</v>
      </c>
      <c r="AP36" t="n">
        <v>417420.339415838</v>
      </c>
      <c r="AQ36" t="n">
        <v>44821782.9410638</v>
      </c>
      <c r="AR36" t="n">
        <v>9033132.84103631</v>
      </c>
      <c r="AS36" t="n">
        <v>13313778.4440862</v>
      </c>
      <c r="AT36" t="n">
        <v>7398599.3985242</v>
      </c>
      <c r="AU36" t="n">
        <v>7738939.52802375</v>
      </c>
      <c r="AV36" t="n">
        <v>7477258.07259564</v>
      </c>
      <c r="AW36" t="n">
        <v>3117049.41363421</v>
      </c>
      <c r="AX36" t="n">
        <v>17873105.7491094</v>
      </c>
      <c r="AY36" t="n">
        <v>25208262.6868806</v>
      </c>
      <c r="AZ36" t="n">
        <v>2533479.60248093</v>
      </c>
      <c r="BA36" t="n">
        <v>19923960.9575552</v>
      </c>
      <c r="BB36" t="n">
        <v>91587622.4377731</v>
      </c>
      <c r="BC36" t="n">
        <v>42170763.7680897</v>
      </c>
      <c r="BD36" t="n">
        <v>51243916.5021371</v>
      </c>
      <c r="BE36" t="n">
        <v>16436900.5176425</v>
      </c>
      <c r="BF36" t="n">
        <v>12918647.9524837</v>
      </c>
      <c r="BG36" t="n">
        <v>161660590.580498</v>
      </c>
      <c r="BH36" t="n">
        <v>114004609.288722</v>
      </c>
      <c r="BI36" t="n">
        <v>32338704.2288663</v>
      </c>
      <c r="BJ36" t="n">
        <v>39427635.1765344</v>
      </c>
      <c r="BK36" t="n">
        <v>2826035.07243768</v>
      </c>
      <c r="BL36" t="n">
        <v>15893807.0431586</v>
      </c>
      <c r="BM36" t="n">
        <v>13107129.6160106</v>
      </c>
      <c r="BN36" t="n">
        <v>110691568.468598</v>
      </c>
      <c r="BO36" t="n">
        <v>59948712.2968219</v>
      </c>
      <c r="BP36" t="n">
        <v>21432269.791713</v>
      </c>
      <c r="BQ36" t="n">
        <v>10821472.9040743</v>
      </c>
      <c r="BR36" t="n">
        <v>4384746.7399023</v>
      </c>
      <c r="BS36" t="n">
        <v>199744801.352266</v>
      </c>
      <c r="BT36" t="n">
        <v>40517677.8740456</v>
      </c>
      <c r="BU36" t="n">
        <v>2758903379.04869</v>
      </c>
      <c r="BV36" t="n">
        <v>561677.878718808</v>
      </c>
      <c r="BW36" t="n">
        <v>1332323624.22368</v>
      </c>
      <c r="BX36" t="n">
        <v>153800202.497158</v>
      </c>
      <c r="BY36" t="n">
        <v>18793157.5189624</v>
      </c>
      <c r="BZ36" t="n">
        <v>199503661.921854</v>
      </c>
      <c r="CA36" t="n">
        <v>4509322834.31727</v>
      </c>
      <c r="CB36" t="n">
        <v>1679677618.32011</v>
      </c>
      <c r="CC36" t="n">
        <v>0</v>
      </c>
      <c r="CD36" t="n">
        <v>0</v>
      </c>
      <c r="CE36" t="n">
        <v>64677135.5375225</v>
      </c>
      <c r="CF36" t="n">
        <v>5719501.97467524</v>
      </c>
      <c r="CG36" t="n">
        <v>0</v>
      </c>
      <c r="CH36" t="n">
        <v>0</v>
      </c>
      <c r="CI36" t="n">
        <v>4404865.43114509</v>
      </c>
      <c r="CJ36" t="n">
        <v>0</v>
      </c>
      <c r="CK36" t="n">
        <v>0</v>
      </c>
      <c r="CL36" t="n">
        <v>0</v>
      </c>
      <c r="CM36" t="n">
        <v>62090229.2066392</v>
      </c>
      <c r="CN36" t="n">
        <v>14106312.1426229</v>
      </c>
    </row>
    <row r="37">
      <c r="A37" t="s">
        <v>148</v>
      </c>
      <c r="B37" t="n">
        <v>378985.566307994</v>
      </c>
      <c r="C37" t="n">
        <v>11376.6983424136</v>
      </c>
      <c r="D37" t="n">
        <v>23960.3227263133</v>
      </c>
      <c r="E37" t="n">
        <v>5849943.48551564</v>
      </c>
      <c r="F37" t="n">
        <v>29944.0914505419</v>
      </c>
      <c r="G37" t="n">
        <v>234502.828743995</v>
      </c>
      <c r="H37" t="n">
        <v>40260905.0336898</v>
      </c>
      <c r="I37" t="n">
        <v>9912000.32595537</v>
      </c>
      <c r="J37" t="n">
        <v>2728172.9916414</v>
      </c>
      <c r="K37" t="n">
        <v>1104403.78427892</v>
      </c>
      <c r="L37" t="n">
        <v>10171740.5953435</v>
      </c>
      <c r="M37" t="n">
        <v>53111357.396226</v>
      </c>
      <c r="N37" t="n">
        <v>4327483.15801531</v>
      </c>
      <c r="O37" t="n">
        <v>62145.4254915454</v>
      </c>
      <c r="P37" t="n">
        <v>19521458.3785154</v>
      </c>
      <c r="Q37" t="n">
        <v>3668897.00877999</v>
      </c>
      <c r="R37" t="n">
        <v>2807777.11882424</v>
      </c>
      <c r="S37" t="n">
        <v>13518400.0341799</v>
      </c>
      <c r="T37" t="n">
        <v>28193861.1450092</v>
      </c>
      <c r="U37" t="n">
        <v>140562.418794144</v>
      </c>
      <c r="V37" t="n">
        <v>0</v>
      </c>
      <c r="W37" t="n">
        <v>8080727.40608693</v>
      </c>
      <c r="X37" t="n">
        <v>1931492.0987478</v>
      </c>
      <c r="Y37" t="n">
        <v>56750.0261585236</v>
      </c>
      <c r="Z37" t="n">
        <v>3609740.82987064</v>
      </c>
      <c r="AA37" t="n">
        <v>2875692.50363109</v>
      </c>
      <c r="AB37" t="n">
        <v>2170849.29580073</v>
      </c>
      <c r="AC37" t="n">
        <v>19496065.5395472</v>
      </c>
      <c r="AD37" t="n">
        <v>10057090.2647884</v>
      </c>
      <c r="AE37" t="n">
        <v>2430905.51692693</v>
      </c>
      <c r="AF37" t="n">
        <v>19777736.8587053</v>
      </c>
      <c r="AG37" t="n">
        <v>0</v>
      </c>
      <c r="AH37" t="n">
        <v>220274.542069025</v>
      </c>
      <c r="AI37" t="n">
        <v>0</v>
      </c>
      <c r="AJ37" t="n">
        <v>25612304.3412011</v>
      </c>
      <c r="AK37" t="n">
        <v>99414.7526501767</v>
      </c>
      <c r="AL37" t="n">
        <v>6982.96024056131</v>
      </c>
      <c r="AM37" t="n">
        <v>142910.709449841</v>
      </c>
      <c r="AN37" t="n">
        <v>544522.284312389</v>
      </c>
      <c r="AO37" t="n">
        <v>867520.037415517</v>
      </c>
      <c r="AP37" t="n">
        <v>130666.892540517</v>
      </c>
      <c r="AQ37" t="n">
        <v>819165.458790316</v>
      </c>
      <c r="AR37" t="n">
        <v>95542.9906334769</v>
      </c>
      <c r="AS37" t="n">
        <v>854769.629058127</v>
      </c>
      <c r="AT37" t="n">
        <v>98905.1356484966</v>
      </c>
      <c r="AU37" t="n">
        <v>330724.409523644</v>
      </c>
      <c r="AV37" t="n">
        <v>0</v>
      </c>
      <c r="AW37" t="n">
        <v>1427222.57687968</v>
      </c>
      <c r="AX37" t="n">
        <v>2520245.47209793</v>
      </c>
      <c r="AY37" t="n">
        <v>3423882.77904196</v>
      </c>
      <c r="AZ37" t="n">
        <v>0</v>
      </c>
      <c r="BA37" t="n">
        <v>403516.741193064</v>
      </c>
      <c r="BB37" t="n">
        <v>8168670.21898033</v>
      </c>
      <c r="BC37" t="n">
        <v>0</v>
      </c>
      <c r="BD37" t="n">
        <v>37415776.196319</v>
      </c>
      <c r="BE37" t="n">
        <v>1066619.1446701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69568.4973916262</v>
      </c>
      <c r="BL37" t="n">
        <v>278756.19779105</v>
      </c>
      <c r="BM37" t="n">
        <v>382124.694012655</v>
      </c>
      <c r="BN37" t="n">
        <v>1913675.5327613</v>
      </c>
      <c r="BO37" t="n">
        <v>54952480.2035726</v>
      </c>
      <c r="BP37" t="n">
        <v>0</v>
      </c>
      <c r="BQ37" t="n">
        <v>0</v>
      </c>
      <c r="BR37" t="n">
        <v>0</v>
      </c>
      <c r="BS37" t="n">
        <v>0</v>
      </c>
      <c r="BT37" t="n">
        <v>33304.7505528948</v>
      </c>
      <c r="BU37" t="n">
        <v>5552910065.20174</v>
      </c>
      <c r="BV37" t="n">
        <v>0</v>
      </c>
      <c r="BW37" t="n">
        <v>482635646.687526</v>
      </c>
      <c r="BX37" t="n">
        <v>0</v>
      </c>
      <c r="BY37" t="n">
        <v>127148.893816515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1457636.79349228</v>
      </c>
      <c r="C38" t="n">
        <v>0</v>
      </c>
      <c r="D38" t="n">
        <v>146.995844946707</v>
      </c>
      <c r="E38" t="n">
        <v>0</v>
      </c>
      <c r="F38" t="n">
        <v>0</v>
      </c>
      <c r="G38" t="n">
        <v>1356766.36630454</v>
      </c>
      <c r="H38" t="n">
        <v>4028017.78460563</v>
      </c>
      <c r="I38" t="n">
        <v>0</v>
      </c>
      <c r="J38" t="n">
        <v>40718.9998752448</v>
      </c>
      <c r="K38" t="n">
        <v>0</v>
      </c>
      <c r="L38" t="n">
        <v>58796.1884123902</v>
      </c>
      <c r="M38" t="n">
        <v>448071.069147014</v>
      </c>
      <c r="N38" t="n">
        <v>31358.5736088066</v>
      </c>
      <c r="O38" t="n">
        <v>41430.2836610302</v>
      </c>
      <c r="P38" t="n">
        <v>48245.8038393956</v>
      </c>
      <c r="Q38" t="n">
        <v>0</v>
      </c>
      <c r="R38" t="n">
        <v>144730.779320837</v>
      </c>
      <c r="S38" t="n">
        <v>604481.302341378</v>
      </c>
      <c r="T38" t="n">
        <v>292597.521149095</v>
      </c>
      <c r="U38" t="n">
        <v>0</v>
      </c>
      <c r="V38" t="n">
        <v>0</v>
      </c>
      <c r="W38" t="n">
        <v>26151.2213789221</v>
      </c>
      <c r="X38" t="n">
        <v>819420.890377856</v>
      </c>
      <c r="Y38" t="n">
        <v>75666.7015446982</v>
      </c>
      <c r="Z38" t="n">
        <v>415568.35738917</v>
      </c>
      <c r="AA38" t="n">
        <v>20688.4352779215</v>
      </c>
      <c r="AB38" t="n">
        <v>173667.943664058</v>
      </c>
      <c r="AC38" t="n">
        <v>196749.285261486</v>
      </c>
      <c r="AD38" t="n">
        <v>418253.281333353</v>
      </c>
      <c r="AE38" t="n">
        <v>193611.943826039</v>
      </c>
      <c r="AF38" t="n">
        <v>713549.721961134</v>
      </c>
      <c r="AG38" t="n">
        <v>0</v>
      </c>
      <c r="AH38" t="n">
        <v>110137.271034513</v>
      </c>
      <c r="AI38" t="n">
        <v>0</v>
      </c>
      <c r="AJ38" t="n">
        <v>4282377.28584882</v>
      </c>
      <c r="AK38" t="n">
        <v>463935.512367491</v>
      </c>
      <c r="AL38" t="n">
        <v>0</v>
      </c>
      <c r="AM38" t="n">
        <v>441724.011026782</v>
      </c>
      <c r="AN38" t="n">
        <v>0</v>
      </c>
      <c r="AO38" t="n">
        <v>17704.4905595003</v>
      </c>
      <c r="AP38" t="n">
        <v>0</v>
      </c>
      <c r="AQ38" t="n">
        <v>0</v>
      </c>
      <c r="AR38" t="n">
        <v>15923.8317722461</v>
      </c>
      <c r="AS38" t="n">
        <v>77706.3299143752</v>
      </c>
      <c r="AT38" t="n">
        <v>42387.9152779271</v>
      </c>
      <c r="AU38" t="n">
        <v>23623.1721088317</v>
      </c>
      <c r="AV38" t="n">
        <v>0</v>
      </c>
      <c r="AW38" t="n">
        <v>1124478.3939052</v>
      </c>
      <c r="AX38" t="n">
        <v>220898.009506592</v>
      </c>
      <c r="AY38" t="n">
        <v>18276.9543365229</v>
      </c>
      <c r="AZ38" t="n">
        <v>0</v>
      </c>
      <c r="BA38" t="n">
        <v>16140.6696477225</v>
      </c>
      <c r="BB38" t="n">
        <v>82014.7612347422</v>
      </c>
      <c r="BC38" t="n">
        <v>0</v>
      </c>
      <c r="BD38" t="n">
        <v>1056147.2392638</v>
      </c>
      <c r="BE38" t="n">
        <v>0</v>
      </c>
      <c r="BF38" t="n">
        <v>134720.788518531</v>
      </c>
      <c r="BG38" t="n">
        <v>43832.8468094286</v>
      </c>
      <c r="BH38" t="n">
        <v>112281.226427314</v>
      </c>
      <c r="BI38" t="n">
        <v>30917.7342883083</v>
      </c>
      <c r="BJ38" t="n">
        <v>24366.9335075968</v>
      </c>
      <c r="BK38" t="n">
        <v>111309.595826602</v>
      </c>
      <c r="BL38" t="n">
        <v>263269.742358214</v>
      </c>
      <c r="BM38" t="n">
        <v>428442.838741462</v>
      </c>
      <c r="BN38" t="n">
        <v>19700473.7016047</v>
      </c>
      <c r="BO38" t="n">
        <v>464487.804061407</v>
      </c>
      <c r="BP38" t="n">
        <v>0</v>
      </c>
      <c r="BQ38" t="n">
        <v>0</v>
      </c>
      <c r="BR38" t="n">
        <v>0</v>
      </c>
      <c r="BS38" t="n">
        <v>372882.491064547</v>
      </c>
      <c r="BT38" t="n">
        <v>0</v>
      </c>
      <c r="BU38" t="n">
        <v>3929994678.73615</v>
      </c>
      <c r="BV38" t="n">
        <v>0</v>
      </c>
      <c r="BW38" t="n">
        <v>4455539.11943373</v>
      </c>
      <c r="BX38" t="n">
        <v>18879.403048448</v>
      </c>
      <c r="BY38" t="n">
        <v>127171.947019259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81297.682267182</v>
      </c>
      <c r="C39" t="n">
        <v>0</v>
      </c>
      <c r="D39" t="n">
        <v>31.0548884997081</v>
      </c>
      <c r="E39" t="n">
        <v>5307.46356479333</v>
      </c>
      <c r="F39" t="n">
        <v>24.738938720523</v>
      </c>
      <c r="G39" t="n">
        <v>72897.4246878071</v>
      </c>
      <c r="H39" t="n">
        <v>633140.947736791</v>
      </c>
      <c r="I39" t="n">
        <v>11756.0478645929</v>
      </c>
      <c r="J39" t="n">
        <v>4731.34598309286</v>
      </c>
      <c r="K39" t="n">
        <v>1060.54749036279</v>
      </c>
      <c r="L39" t="n">
        <v>13663.6514019715</v>
      </c>
      <c r="M39" t="n">
        <v>90243.6385155913</v>
      </c>
      <c r="N39" t="n">
        <v>7949.9145621519</v>
      </c>
      <c r="O39" t="n">
        <v>4813.99363389533</v>
      </c>
      <c r="P39" t="n">
        <v>21531.8417699914</v>
      </c>
      <c r="Q39" t="n">
        <v>3005.50847480433</v>
      </c>
      <c r="R39" t="n">
        <v>18957.3446369633</v>
      </c>
      <c r="S39" t="n">
        <v>75462.0256181335</v>
      </c>
      <c r="T39" t="n">
        <v>54309.1034763631</v>
      </c>
      <c r="U39" t="n">
        <v>524.042452614581</v>
      </c>
      <c r="V39" t="n">
        <v>0</v>
      </c>
      <c r="W39" t="n">
        <v>9392.16716902213</v>
      </c>
      <c r="X39" t="n">
        <v>58116.8101592722</v>
      </c>
      <c r="Y39" t="n">
        <v>3197.12571530604</v>
      </c>
      <c r="Z39" t="n">
        <v>25305.4780267032</v>
      </c>
      <c r="AA39" t="n">
        <v>5244.85886813093</v>
      </c>
      <c r="AB39" t="n">
        <v>13758.650699658</v>
      </c>
      <c r="AC39" t="n">
        <v>33252.788163681</v>
      </c>
      <c r="AD39" t="n">
        <v>18475.637091927</v>
      </c>
      <c r="AE39" t="n">
        <v>4999.27740807167</v>
      </c>
      <c r="AF39" t="n">
        <v>38014.5027561833</v>
      </c>
      <c r="AG39" t="n">
        <v>0</v>
      </c>
      <c r="AH39" t="n">
        <v>6980.40275807578</v>
      </c>
      <c r="AI39" t="n">
        <v>334.885458057352</v>
      </c>
      <c r="AJ39" t="n">
        <v>257128.372552311</v>
      </c>
      <c r="AK39" t="n">
        <v>25203.276132573</v>
      </c>
      <c r="AL39" t="n">
        <v>147.524613193758</v>
      </c>
      <c r="AM39" t="n">
        <v>24702.420757596</v>
      </c>
      <c r="AN39" t="n">
        <v>442.453082499301</v>
      </c>
      <c r="AO39" t="n">
        <v>1870.15823633909</v>
      </c>
      <c r="AP39" t="n">
        <v>149.217153131657</v>
      </c>
      <c r="AQ39" t="n">
        <v>721.0830798984</v>
      </c>
      <c r="AR39" t="n">
        <v>841.031969907884</v>
      </c>
      <c r="AS39" t="n">
        <v>6156.19801724837</v>
      </c>
      <c r="AT39" t="n">
        <v>2388.00760328672</v>
      </c>
      <c r="AU39" t="n">
        <v>1497.21573990438</v>
      </c>
      <c r="AV39" t="n">
        <v>0</v>
      </c>
      <c r="AW39" t="n">
        <v>123349.232344257</v>
      </c>
      <c r="AX39" t="n">
        <v>33303.7923014054</v>
      </c>
      <c r="AY39" t="n">
        <v>6049.30309976116</v>
      </c>
      <c r="AZ39" t="n">
        <v>312.270783577483</v>
      </c>
      <c r="BA39" t="n">
        <v>1363.97514202492</v>
      </c>
      <c r="BB39" t="n">
        <v>13168.3248765491</v>
      </c>
      <c r="BC39" t="n">
        <v>0</v>
      </c>
      <c r="BD39" t="n">
        <v>97580.2583935888</v>
      </c>
      <c r="BE39" t="n">
        <v>1040.02118996763</v>
      </c>
      <c r="BF39" t="n">
        <v>16128.248193771</v>
      </c>
      <c r="BG39" t="n">
        <v>4630.14505881134</v>
      </c>
      <c r="BH39" t="n">
        <v>3795.35186842852</v>
      </c>
      <c r="BI39" t="n">
        <v>653.17954486068</v>
      </c>
      <c r="BJ39" t="n">
        <v>1544.35467907116</v>
      </c>
      <c r="BK39" t="n">
        <v>1175.78394429989</v>
      </c>
      <c r="BL39" t="n">
        <v>2290.20829008975</v>
      </c>
      <c r="BM39" t="n">
        <v>14922.6486734817</v>
      </c>
      <c r="BN39" t="n">
        <v>91827.1550997611</v>
      </c>
      <c r="BO39" t="n">
        <v>96997.1571762275</v>
      </c>
      <c r="BP39" t="n">
        <v>0</v>
      </c>
      <c r="BQ39" t="n">
        <v>593.014609706445</v>
      </c>
      <c r="BR39" t="n">
        <v>0</v>
      </c>
      <c r="BS39" t="n">
        <v>8665.41949295997</v>
      </c>
      <c r="BT39" t="n">
        <v>0</v>
      </c>
      <c r="BU39" t="n">
        <v>72915898.0401118</v>
      </c>
      <c r="BV39" t="n">
        <v>0</v>
      </c>
      <c r="BW39" t="n">
        <v>884602.977997544</v>
      </c>
      <c r="BX39" t="n">
        <v>236995.046073005</v>
      </c>
      <c r="BY39" t="n">
        <v>60053.881747703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45494647.3196522</v>
      </c>
      <c r="C40" t="n">
        <v>131511.417572899</v>
      </c>
      <c r="D40" t="n">
        <v>9204.16479579438</v>
      </c>
      <c r="E40" t="n">
        <v>4459844.8094841</v>
      </c>
      <c r="F40" t="n">
        <v>3222.95376549443</v>
      </c>
      <c r="G40" t="n">
        <v>44873196.7211765</v>
      </c>
      <c r="H40" t="n">
        <v>1462474994.021</v>
      </c>
      <c r="I40" t="n">
        <v>12865114.1000304</v>
      </c>
      <c r="J40" t="n">
        <v>333412.59251912</v>
      </c>
      <c r="K40" t="n">
        <v>229702.004550358</v>
      </c>
      <c r="L40" t="n">
        <v>3908087.0966513</v>
      </c>
      <c r="M40" t="n">
        <v>31278877.4707957</v>
      </c>
      <c r="N40" t="n">
        <v>2748929.88373653</v>
      </c>
      <c r="O40" t="n">
        <v>2554252.64083707</v>
      </c>
      <c r="P40" t="n">
        <v>4914800.49181096</v>
      </c>
      <c r="Q40" t="n">
        <v>411131.039767005</v>
      </c>
      <c r="R40" t="n">
        <v>9145989.74926496</v>
      </c>
      <c r="S40" t="n">
        <v>36208643.8177904</v>
      </c>
      <c r="T40" t="n">
        <v>19992072.8479428</v>
      </c>
      <c r="U40" t="n">
        <v>342495.386941101</v>
      </c>
      <c r="V40" t="n">
        <v>14010.5040481749</v>
      </c>
      <c r="W40" t="n">
        <v>2393214.09921125</v>
      </c>
      <c r="X40" t="n">
        <v>48263490.871024</v>
      </c>
      <c r="Y40" t="n">
        <v>5321004.58403676</v>
      </c>
      <c r="Z40" t="n">
        <v>25471408.8554719</v>
      </c>
      <c r="AA40" t="n">
        <v>2012866.57939202</v>
      </c>
      <c r="AB40" t="n">
        <v>11689810.0204534</v>
      </c>
      <c r="AC40" t="n">
        <v>19332112.1273992</v>
      </c>
      <c r="AD40" t="n">
        <v>5933728.30021268</v>
      </c>
      <c r="AE40" t="n">
        <v>11211219.9037119</v>
      </c>
      <c r="AF40" t="n">
        <v>21188909.7267228</v>
      </c>
      <c r="AG40" t="n">
        <v>119584.112453376</v>
      </c>
      <c r="AH40" t="n">
        <v>3766419.02372271</v>
      </c>
      <c r="AI40" t="n">
        <v>7131062.20451094</v>
      </c>
      <c r="AJ40" t="n">
        <v>152358136.431875</v>
      </c>
      <c r="AK40" t="n">
        <v>14412964.1541902</v>
      </c>
      <c r="AL40" t="n">
        <v>94174.5546783427</v>
      </c>
      <c r="AM40" t="n">
        <v>19148267.7303483</v>
      </c>
      <c r="AN40" t="n">
        <v>80699.0219818059</v>
      </c>
      <c r="AO40" t="n">
        <v>1074459.26306925</v>
      </c>
      <c r="AP40" t="n">
        <v>51029.4712461962</v>
      </c>
      <c r="AQ40" t="n">
        <v>175357.799857484</v>
      </c>
      <c r="AR40" t="n">
        <v>720960.396761151</v>
      </c>
      <c r="AS40" t="n">
        <v>4772023.3167457</v>
      </c>
      <c r="AT40" t="n">
        <v>2055245.56865512</v>
      </c>
      <c r="AU40" t="n">
        <v>1206090.9367776</v>
      </c>
      <c r="AV40" t="n">
        <v>0</v>
      </c>
      <c r="AW40" t="n">
        <v>65597366.2151986</v>
      </c>
      <c r="AX40" t="n">
        <v>11316729.981962</v>
      </c>
      <c r="AY40" t="n">
        <v>968350.2891554</v>
      </c>
      <c r="AZ40" t="n">
        <v>313252.891746532</v>
      </c>
      <c r="BA40" t="n">
        <v>839617.107641338</v>
      </c>
      <c r="BB40" t="n">
        <v>5609399.14416096</v>
      </c>
      <c r="BC40" t="n">
        <v>0</v>
      </c>
      <c r="BD40" t="n">
        <v>20510722.8465597</v>
      </c>
      <c r="BE40" t="n">
        <v>347764.037248558</v>
      </c>
      <c r="BF40" t="n">
        <v>1874568.99341985</v>
      </c>
      <c r="BG40" t="n">
        <v>6143680.76886672</v>
      </c>
      <c r="BH40" t="n">
        <v>3309745.07410775</v>
      </c>
      <c r="BI40" t="n">
        <v>2233751.69030753</v>
      </c>
      <c r="BJ40" t="n">
        <v>1314482.70240774</v>
      </c>
      <c r="BK40" t="n">
        <v>4154992.87059846</v>
      </c>
      <c r="BL40" t="n">
        <v>4997615.09125081</v>
      </c>
      <c r="BM40" t="n">
        <v>13039821.4728516</v>
      </c>
      <c r="BN40" t="n">
        <v>80655050.8464234</v>
      </c>
      <c r="BO40" t="n">
        <v>36071002.7802893</v>
      </c>
      <c r="BP40" t="n">
        <v>8754.48878786062</v>
      </c>
      <c r="BQ40" t="n">
        <v>414613.104791394</v>
      </c>
      <c r="BR40" t="n">
        <v>16513.0554960052</v>
      </c>
      <c r="BS40" t="n">
        <v>6591344.79271015</v>
      </c>
      <c r="BT40" t="n">
        <v>0</v>
      </c>
      <c r="BU40" t="n">
        <v>13327108440.8153</v>
      </c>
      <c r="BV40" t="n">
        <v>0</v>
      </c>
      <c r="BW40" t="n">
        <v>516934550.692001</v>
      </c>
      <c r="BX40" t="n">
        <v>180312442.217597</v>
      </c>
      <c r="BY40" t="n">
        <v>106822950.4843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5459303.62019446</v>
      </c>
      <c r="C41" t="n">
        <v>10953.5417417653</v>
      </c>
      <c r="D41" t="n">
        <v>1845.33581145923</v>
      </c>
      <c r="E41" t="n">
        <v>558208.77365637</v>
      </c>
      <c r="F41" t="n">
        <v>46259.4723090073</v>
      </c>
      <c r="G41" t="n">
        <v>11929290.3512865</v>
      </c>
      <c r="H41" t="n">
        <v>6776080.40622558</v>
      </c>
      <c r="I41" t="n">
        <v>3677216.59989927</v>
      </c>
      <c r="J41" t="n">
        <v>4549491.9357474</v>
      </c>
      <c r="K41" t="n">
        <v>1881385.47945605</v>
      </c>
      <c r="L41" t="n">
        <v>10243685.8657468</v>
      </c>
      <c r="M41" t="n">
        <v>7668408.97151772</v>
      </c>
      <c r="N41" t="n">
        <v>1876648.23396276</v>
      </c>
      <c r="O41" t="n">
        <v>694254.136336896</v>
      </c>
      <c r="P41" t="n">
        <v>1731958.28734843</v>
      </c>
      <c r="Q41" t="n">
        <v>764469.260283237</v>
      </c>
      <c r="R41" t="n">
        <v>2405513.94313721</v>
      </c>
      <c r="S41" t="n">
        <v>7662152.77043772</v>
      </c>
      <c r="T41" t="n">
        <v>12163003.2970394</v>
      </c>
      <c r="U41" t="n">
        <v>229036.596606391</v>
      </c>
      <c r="V41" t="n">
        <v>49552.0365143079</v>
      </c>
      <c r="W41" t="n">
        <v>3511654.78904789</v>
      </c>
      <c r="X41" t="n">
        <v>7816280.0117234</v>
      </c>
      <c r="Y41" t="n">
        <v>2234036.43426898</v>
      </c>
      <c r="Z41" t="n">
        <v>2452372.69840525</v>
      </c>
      <c r="AA41" t="n">
        <v>6503927.24370718</v>
      </c>
      <c r="AB41" t="n">
        <v>126454991.215097</v>
      </c>
      <c r="AC41" t="n">
        <v>2448825.31056281</v>
      </c>
      <c r="AD41" t="n">
        <v>670938.370559616</v>
      </c>
      <c r="AE41" t="n">
        <v>1098597.01053952</v>
      </c>
      <c r="AF41" t="n">
        <v>3023213.22017988</v>
      </c>
      <c r="AG41" t="n">
        <v>4903149.69812576</v>
      </c>
      <c r="AH41" t="n">
        <v>682213.105830825</v>
      </c>
      <c r="AI41" t="n">
        <v>1856094.32124685</v>
      </c>
      <c r="AJ41" t="n">
        <v>30038594.4483727</v>
      </c>
      <c r="AK41" t="n">
        <v>495154.216707268</v>
      </c>
      <c r="AL41" t="n">
        <v>61807.7165896615</v>
      </c>
      <c r="AM41" t="n">
        <v>9132819.07394231</v>
      </c>
      <c r="AN41" t="n">
        <v>2251811.84437156</v>
      </c>
      <c r="AO41" t="n">
        <v>6466765.26497455</v>
      </c>
      <c r="AP41" t="n">
        <v>892600.500716165</v>
      </c>
      <c r="AQ41" t="n">
        <v>5083921.6284884</v>
      </c>
      <c r="AR41" t="n">
        <v>13279388.8708651</v>
      </c>
      <c r="AS41" t="n">
        <v>105622340.04776</v>
      </c>
      <c r="AT41" t="n">
        <v>37604299.1255059</v>
      </c>
      <c r="AU41" t="n">
        <v>2317505.32028301</v>
      </c>
      <c r="AV41" t="n">
        <v>13898260.4193805</v>
      </c>
      <c r="AW41" t="n">
        <v>116120.070234121</v>
      </c>
      <c r="AX41" t="n">
        <v>97397574.4097122</v>
      </c>
      <c r="AY41" t="n">
        <v>6930303.90187873</v>
      </c>
      <c r="AZ41" t="n">
        <v>9999380.31165436</v>
      </c>
      <c r="BA41" t="n">
        <v>46187739.0750454</v>
      </c>
      <c r="BB41" t="n">
        <v>67343979.6846123</v>
      </c>
      <c r="BC41" t="n">
        <v>12485229.9689001</v>
      </c>
      <c r="BD41" t="n">
        <v>58934732.3312643</v>
      </c>
      <c r="BE41" t="n">
        <v>6488997.09473835</v>
      </c>
      <c r="BF41" t="n">
        <v>8555888.67498737</v>
      </c>
      <c r="BG41" t="n">
        <v>54754545.1981263</v>
      </c>
      <c r="BH41" t="n">
        <v>6814238.58025211</v>
      </c>
      <c r="BI41" t="n">
        <v>7832829.37178138</v>
      </c>
      <c r="BJ41" t="n">
        <v>13747891.5736594</v>
      </c>
      <c r="BK41" t="n">
        <v>1561261.40805047</v>
      </c>
      <c r="BL41" t="n">
        <v>2334734.4117147</v>
      </c>
      <c r="BM41" t="n">
        <v>1848245.89461684</v>
      </c>
      <c r="BN41" t="n">
        <v>23695050.9634221</v>
      </c>
      <c r="BO41" t="n">
        <v>9347790.33741235</v>
      </c>
      <c r="BP41" t="n">
        <v>25215027.5629438</v>
      </c>
      <c r="BQ41" t="n">
        <v>24826784.895856</v>
      </c>
      <c r="BR41" t="n">
        <v>2018337.31124336</v>
      </c>
      <c r="BS41" t="n">
        <v>52837031.9293903</v>
      </c>
      <c r="BT41" t="n">
        <v>731394.706605602</v>
      </c>
      <c r="BU41" t="n">
        <v>1443318581.13959</v>
      </c>
      <c r="BV41" t="n">
        <v>0</v>
      </c>
      <c r="BW41" t="n">
        <v>9377344.22777119</v>
      </c>
      <c r="BX41" t="n">
        <v>1124324.43547257</v>
      </c>
      <c r="BY41" t="n">
        <v>61203.3355976352</v>
      </c>
      <c r="BZ41" t="n">
        <v>670840.433437956</v>
      </c>
      <c r="CA41" t="n">
        <v>1156479215.36308</v>
      </c>
      <c r="CB41" t="n">
        <v>-806869271.175709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328109.343913408</v>
      </c>
      <c r="CN41" t="n">
        <v>93745.5268324023</v>
      </c>
    </row>
    <row r="42">
      <c r="A42" t="s">
        <v>153</v>
      </c>
      <c r="B42" t="n">
        <v>61102548.4696378</v>
      </c>
      <c r="C42" t="n">
        <v>225929.166977948</v>
      </c>
      <c r="D42" t="n">
        <v>56315.8789230398</v>
      </c>
      <c r="E42" t="n">
        <v>27231917.2281029</v>
      </c>
      <c r="F42" t="n">
        <v>32390.5843794997</v>
      </c>
      <c r="G42" t="n">
        <v>34622410.4617518</v>
      </c>
      <c r="H42" t="n">
        <v>39661185.8384342</v>
      </c>
      <c r="I42" t="n">
        <v>27051360.858632</v>
      </c>
      <c r="J42" t="n">
        <v>35748457.1433218</v>
      </c>
      <c r="K42" t="n">
        <v>30665741.9986277</v>
      </c>
      <c r="L42" t="n">
        <v>26466279.1710466</v>
      </c>
      <c r="M42" t="n">
        <v>14731491.541856</v>
      </c>
      <c r="N42" t="n">
        <v>2179618.08420679</v>
      </c>
      <c r="O42" t="n">
        <v>4645174.34274955</v>
      </c>
      <c r="P42" t="n">
        <v>6382413.25318508</v>
      </c>
      <c r="Q42" t="n">
        <v>1796727.66593221</v>
      </c>
      <c r="R42" t="n">
        <v>6586707.93696151</v>
      </c>
      <c r="S42" t="n">
        <v>11867944.6090068</v>
      </c>
      <c r="T42" t="n">
        <v>111838229.802977</v>
      </c>
      <c r="U42" t="n">
        <v>526812.222298822</v>
      </c>
      <c r="V42" t="n">
        <v>24069.2524418323</v>
      </c>
      <c r="W42" t="n">
        <v>54573508.5950226</v>
      </c>
      <c r="X42" t="n">
        <v>5085259.40466642</v>
      </c>
      <c r="Y42" t="n">
        <v>59057686.9089821</v>
      </c>
      <c r="Z42" t="n">
        <v>32100758.4461891</v>
      </c>
      <c r="AA42" t="n">
        <v>31070560.7272979</v>
      </c>
      <c r="AB42" t="n">
        <v>5658287.95607994</v>
      </c>
      <c r="AC42" t="n">
        <v>488404.025323787</v>
      </c>
      <c r="AD42" t="n">
        <v>1809086.50059691</v>
      </c>
      <c r="AE42" t="n">
        <v>676422.505858358</v>
      </c>
      <c r="AF42" t="n">
        <v>1501748.08871732</v>
      </c>
      <c r="AG42" t="n">
        <v>3471914.57602886</v>
      </c>
      <c r="AH42" t="n">
        <v>5536373.86996773</v>
      </c>
      <c r="AI42" t="n">
        <v>341027.607729852</v>
      </c>
      <c r="AJ42" t="n">
        <v>75175988.2702764</v>
      </c>
      <c r="AK42" t="n">
        <v>438727.018557399</v>
      </c>
      <c r="AL42" t="n">
        <v>52002.8200199066</v>
      </c>
      <c r="AM42" t="n">
        <v>2827304.96014819</v>
      </c>
      <c r="AN42" t="n">
        <v>346590.873035379</v>
      </c>
      <c r="AO42" t="n">
        <v>468789.881854626</v>
      </c>
      <c r="AP42" t="n">
        <v>23377.5310519332</v>
      </c>
      <c r="AQ42" t="n">
        <v>2993719.26112671</v>
      </c>
      <c r="AR42" t="n">
        <v>355759.217789627</v>
      </c>
      <c r="AS42" t="n">
        <v>1125224.71559916</v>
      </c>
      <c r="AT42" t="n">
        <v>526111.909868162</v>
      </c>
      <c r="AU42" t="n">
        <v>2658409.85963585</v>
      </c>
      <c r="AV42" t="n">
        <v>146631.772635303</v>
      </c>
      <c r="AW42" t="n">
        <v>1019923.13677643</v>
      </c>
      <c r="AX42" t="n">
        <v>2608816.82277607</v>
      </c>
      <c r="AY42" t="n">
        <v>383125.431441702</v>
      </c>
      <c r="AZ42" t="n">
        <v>452535.838038615</v>
      </c>
      <c r="BA42" t="n">
        <v>587650.407883747</v>
      </c>
      <c r="BB42" t="n">
        <v>10125247.8908057</v>
      </c>
      <c r="BC42" t="n">
        <v>1107486.15564294</v>
      </c>
      <c r="BD42" t="n">
        <v>7270974.32379782</v>
      </c>
      <c r="BE42" t="n">
        <v>760376.806866586</v>
      </c>
      <c r="BF42" t="n">
        <v>842259.34049843</v>
      </c>
      <c r="BG42" t="n">
        <v>7489702.20501713</v>
      </c>
      <c r="BH42" t="n">
        <v>4180848.95829555</v>
      </c>
      <c r="BI42" t="n">
        <v>2174560.03820588</v>
      </c>
      <c r="BJ42" t="n">
        <v>4980152.57224509</v>
      </c>
      <c r="BK42" t="n">
        <v>195720.518114509</v>
      </c>
      <c r="BL42" t="n">
        <v>1089220.40676301</v>
      </c>
      <c r="BM42" t="n">
        <v>1379743.86850841</v>
      </c>
      <c r="BN42" t="n">
        <v>11514000.6305574</v>
      </c>
      <c r="BO42" t="n">
        <v>2557360.11197495</v>
      </c>
      <c r="BP42" t="n">
        <v>1319735.07106337</v>
      </c>
      <c r="BQ42" t="n">
        <v>8640288.30492467</v>
      </c>
      <c r="BR42" t="n">
        <v>7120492.01714116</v>
      </c>
      <c r="BS42" t="n">
        <v>36053341.6923516</v>
      </c>
      <c r="BT42" t="n">
        <v>19446910.0353932</v>
      </c>
      <c r="BU42" t="n">
        <v>112142125.691635</v>
      </c>
      <c r="BV42" t="n">
        <v>0</v>
      </c>
      <c r="BW42" t="n">
        <v>87246455.563454</v>
      </c>
      <c r="BX42" t="n">
        <v>0</v>
      </c>
      <c r="BY42" t="n">
        <v>512845.087004426</v>
      </c>
      <c r="BZ42" t="n">
        <v>16064862.1692538</v>
      </c>
      <c r="CA42" t="n">
        <v>341295796.119746</v>
      </c>
      <c r="CB42" t="n">
        <v>11938899.4471257</v>
      </c>
      <c r="CC42" t="n">
        <v>0</v>
      </c>
      <c r="CD42" t="n">
        <v>0</v>
      </c>
      <c r="CE42" t="n">
        <v>2222773.48550338</v>
      </c>
      <c r="CF42" t="n">
        <v>0</v>
      </c>
      <c r="CG42" t="n">
        <v>0</v>
      </c>
      <c r="CH42" t="n">
        <v>0</v>
      </c>
      <c r="CI42" t="n">
        <v>3261149.42033708</v>
      </c>
      <c r="CJ42" t="n">
        <v>0</v>
      </c>
      <c r="CK42" t="n">
        <v>0</v>
      </c>
      <c r="CL42" t="n">
        <v>0</v>
      </c>
      <c r="CM42" t="n">
        <v>10296459.1216107</v>
      </c>
      <c r="CN42" t="n">
        <v>0</v>
      </c>
    </row>
    <row r="43">
      <c r="A43" t="s">
        <v>154</v>
      </c>
      <c r="B43" t="n">
        <v>11878669.5902227</v>
      </c>
      <c r="C43" t="n">
        <v>64720.2360180618</v>
      </c>
      <c r="D43" t="n">
        <v>24668.9647578284</v>
      </c>
      <c r="E43" t="n">
        <v>4925555.73572792</v>
      </c>
      <c r="F43" t="n">
        <v>10349.3059217665</v>
      </c>
      <c r="G43" t="n">
        <v>2989700.15726354</v>
      </c>
      <c r="H43" t="n">
        <v>13965392.299848</v>
      </c>
      <c r="I43" t="n">
        <v>197851.932820709</v>
      </c>
      <c r="J43" t="n">
        <v>4343323.96419071</v>
      </c>
      <c r="K43" t="n">
        <v>3703626.41815573</v>
      </c>
      <c r="L43" t="n">
        <v>2654952.532762</v>
      </c>
      <c r="M43" t="n">
        <v>1232019.26982992</v>
      </c>
      <c r="N43" t="n">
        <v>379087.168011562</v>
      </c>
      <c r="O43" t="n">
        <v>810185.494328765</v>
      </c>
      <c r="P43" t="n">
        <v>304482.10337272</v>
      </c>
      <c r="Q43" t="n">
        <v>117137.508950924</v>
      </c>
      <c r="R43" t="n">
        <v>247005.148105263</v>
      </c>
      <c r="S43" t="n">
        <v>2032017.26227482</v>
      </c>
      <c r="T43" t="n">
        <v>13405499.6916812</v>
      </c>
      <c r="U43" t="n">
        <v>164631.219214459</v>
      </c>
      <c r="V43" t="n">
        <v>0</v>
      </c>
      <c r="W43" t="n">
        <v>2584881.51034713</v>
      </c>
      <c r="X43" t="n">
        <v>41621.033363865</v>
      </c>
      <c r="Y43" t="n">
        <v>2098472.45193859</v>
      </c>
      <c r="Z43" t="n">
        <v>4195123.24759489</v>
      </c>
      <c r="AA43" t="n">
        <v>2044919.93138857</v>
      </c>
      <c r="AB43" t="n">
        <v>370488.540405631</v>
      </c>
      <c r="AC43" t="n">
        <v>152628.482701936</v>
      </c>
      <c r="AD43" t="n">
        <v>202787.787863416</v>
      </c>
      <c r="AE43" t="n">
        <v>76488.034792166</v>
      </c>
      <c r="AF43" t="n">
        <v>231643.205935429</v>
      </c>
      <c r="AG43" t="n">
        <v>370758.116568302</v>
      </c>
      <c r="AH43" t="n">
        <v>215377.765953</v>
      </c>
      <c r="AI43" t="n">
        <v>33816.3314304386</v>
      </c>
      <c r="AJ43" t="n">
        <v>262267.821266597</v>
      </c>
      <c r="AK43" t="n">
        <v>23564.7829652293</v>
      </c>
      <c r="AL43" t="n">
        <v>24828.0971591836</v>
      </c>
      <c r="AM43" t="n">
        <v>83147.3595299117</v>
      </c>
      <c r="AN43" t="n">
        <v>29785.5873209304</v>
      </c>
      <c r="AO43" t="n">
        <v>25179.5110739333</v>
      </c>
      <c r="AP43" t="n">
        <v>0</v>
      </c>
      <c r="AQ43" t="n">
        <v>153718.66303959</v>
      </c>
      <c r="AR43" t="n">
        <v>62279.3588456185</v>
      </c>
      <c r="AS43" t="n">
        <v>69071.720392704</v>
      </c>
      <c r="AT43" t="n">
        <v>20094.84502542</v>
      </c>
      <c r="AU43" t="n">
        <v>0</v>
      </c>
      <c r="AV43" t="n">
        <v>25202.703288761</v>
      </c>
      <c r="AW43" t="n">
        <v>169150.902510369</v>
      </c>
      <c r="AX43" t="n">
        <v>335583.68775623</v>
      </c>
      <c r="AY43" t="n">
        <v>47655.070882006</v>
      </c>
      <c r="AZ43" t="n">
        <v>0</v>
      </c>
      <c r="BA43" t="n">
        <v>91821.7146705628</v>
      </c>
      <c r="BB43" t="n">
        <v>17566322.6354052</v>
      </c>
      <c r="BC43" t="n">
        <v>2828841.59308321</v>
      </c>
      <c r="BD43" t="n">
        <v>1451994.82866383</v>
      </c>
      <c r="BE43" t="n">
        <v>198371.282858227</v>
      </c>
      <c r="BF43" t="n">
        <v>3640424.89247739</v>
      </c>
      <c r="BG43" t="n">
        <v>2571505.68535963</v>
      </c>
      <c r="BH43" t="n">
        <v>3034063.08810062</v>
      </c>
      <c r="BI43" t="n">
        <v>197871.858342763</v>
      </c>
      <c r="BJ43" t="n">
        <v>259911.801767333</v>
      </c>
      <c r="BK43" t="n">
        <v>29682.31270901</v>
      </c>
      <c r="BL43" t="n">
        <v>132149.990339426</v>
      </c>
      <c r="BM43" t="n">
        <v>74108.4169284021</v>
      </c>
      <c r="BN43" t="n">
        <v>696235.86644426</v>
      </c>
      <c r="BO43" t="n">
        <v>482745.713946543</v>
      </c>
      <c r="BP43" t="n">
        <v>5541569.85154067</v>
      </c>
      <c r="BQ43" t="n">
        <v>1536968.84898757</v>
      </c>
      <c r="BR43" t="n">
        <v>5607291.89507058</v>
      </c>
      <c r="BS43" t="n">
        <v>9081684.90546909</v>
      </c>
      <c r="BT43" t="n">
        <v>1989387.26685194</v>
      </c>
      <c r="BU43" t="n">
        <v>306444816.384978</v>
      </c>
      <c r="BV43" t="n">
        <v>0</v>
      </c>
      <c r="BW43" t="n">
        <v>56163.5814944291</v>
      </c>
      <c r="BX43" t="n">
        <v>0</v>
      </c>
      <c r="BY43" t="n">
        <v>0</v>
      </c>
      <c r="BZ43" t="n">
        <v>979360.574826799</v>
      </c>
      <c r="CA43" t="n">
        <v>96451220.4821361</v>
      </c>
      <c r="CB43" t="n">
        <v>205527063.235539</v>
      </c>
      <c r="CC43" t="n">
        <v>0</v>
      </c>
      <c r="CD43" t="n">
        <v>0</v>
      </c>
      <c r="CE43" t="n">
        <v>41829.7184336822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156990964.825417</v>
      </c>
      <c r="C44" t="n">
        <v>2389215.88619683</v>
      </c>
      <c r="D44" t="n">
        <v>97742.2130884347</v>
      </c>
      <c r="E44" t="n">
        <v>23460493.4283918</v>
      </c>
      <c r="F44" t="n">
        <v>74716.3863403858</v>
      </c>
      <c r="G44" t="n">
        <v>16003072.5752756</v>
      </c>
      <c r="H44" t="n">
        <v>284588843.974056</v>
      </c>
      <c r="I44" t="n">
        <v>48967079.5116501</v>
      </c>
      <c r="J44" t="n">
        <v>46538783.0343379</v>
      </c>
      <c r="K44" t="n">
        <v>56038680.8433209</v>
      </c>
      <c r="L44" t="n">
        <v>77495263.1588836</v>
      </c>
      <c r="M44" t="n">
        <v>74236779.6084609</v>
      </c>
      <c r="N44" t="n">
        <v>24079185.3846541</v>
      </c>
      <c r="O44" t="n">
        <v>18492173.0476659</v>
      </c>
      <c r="P44" t="n">
        <v>27249592.4784541</v>
      </c>
      <c r="Q44" t="n">
        <v>8300797.61212877</v>
      </c>
      <c r="R44" t="n">
        <v>21216463.797615</v>
      </c>
      <c r="S44" t="n">
        <v>49901013.2940167</v>
      </c>
      <c r="T44" t="n">
        <v>392811586.466512</v>
      </c>
      <c r="U44" t="n">
        <v>4089190.80812342</v>
      </c>
      <c r="V44" t="n">
        <v>1256178.75275376</v>
      </c>
      <c r="W44" t="n">
        <v>55183073.372635</v>
      </c>
      <c r="X44" t="n">
        <v>25622500.7020847</v>
      </c>
      <c r="Y44" t="n">
        <v>90375751.0753084</v>
      </c>
      <c r="Z44" t="n">
        <v>37088158.9449925</v>
      </c>
      <c r="AA44" t="n">
        <v>36630695.0980219</v>
      </c>
      <c r="AB44" t="n">
        <v>94351870.1643012</v>
      </c>
      <c r="AC44" t="n">
        <v>23966216.7363918</v>
      </c>
      <c r="AD44" t="n">
        <v>16982609.4121427</v>
      </c>
      <c r="AE44" t="n">
        <v>13858885.7163108</v>
      </c>
      <c r="AF44" t="n">
        <v>56563964.0493275</v>
      </c>
      <c r="AG44" t="n">
        <v>29110653.7076327</v>
      </c>
      <c r="AH44" t="n">
        <v>7150717.78565185</v>
      </c>
      <c r="AI44" t="n">
        <v>2222442.42021765</v>
      </c>
      <c r="AJ44" t="n">
        <v>133770740.297035</v>
      </c>
      <c r="AK44" t="n">
        <v>3048391.71697091</v>
      </c>
      <c r="AL44" t="n">
        <v>549416.892481084</v>
      </c>
      <c r="AM44" t="n">
        <v>30881104.1724969</v>
      </c>
      <c r="AN44" t="n">
        <v>8077941.49547271</v>
      </c>
      <c r="AO44" t="n">
        <v>8577843.81419333</v>
      </c>
      <c r="AP44" t="n">
        <v>417834.823635377</v>
      </c>
      <c r="AQ44" t="n">
        <v>9389103.80371847</v>
      </c>
      <c r="AR44" t="n">
        <v>5077467.40322475</v>
      </c>
      <c r="AS44" t="n">
        <v>3206353.54407899</v>
      </c>
      <c r="AT44" t="n">
        <v>1696788.21358771</v>
      </c>
      <c r="AU44" t="n">
        <v>3898999.8213532</v>
      </c>
      <c r="AV44" t="n">
        <v>775757.147912805</v>
      </c>
      <c r="AW44" t="n">
        <v>1624659.26084949</v>
      </c>
      <c r="AX44" t="n">
        <v>6415103.61124484</v>
      </c>
      <c r="AY44" t="n">
        <v>2364270.75051831</v>
      </c>
      <c r="AZ44" t="n">
        <v>1276644.83180754</v>
      </c>
      <c r="BA44" t="n">
        <v>5328028.57999443</v>
      </c>
      <c r="BB44" t="n">
        <v>41288811.6011132</v>
      </c>
      <c r="BC44" t="n">
        <v>7697856.85441073</v>
      </c>
      <c r="BD44" t="n">
        <v>18393868.2640508</v>
      </c>
      <c r="BE44" t="n">
        <v>5513852.59349588</v>
      </c>
      <c r="BF44" t="n">
        <v>4480777.93910862</v>
      </c>
      <c r="BG44" t="n">
        <v>24880290.9506335</v>
      </c>
      <c r="BH44" t="n">
        <v>26462890.2360693</v>
      </c>
      <c r="BI44" t="n">
        <v>9675515.88892116</v>
      </c>
      <c r="BJ44" t="n">
        <v>15481604.1056562</v>
      </c>
      <c r="BK44" t="n">
        <v>1753206.29037601</v>
      </c>
      <c r="BL44" t="n">
        <v>6761128.44926469</v>
      </c>
      <c r="BM44" t="n">
        <v>4788275.58394721</v>
      </c>
      <c r="BN44" t="n">
        <v>30724265.0268058</v>
      </c>
      <c r="BO44" t="n">
        <v>22838445.0732585</v>
      </c>
      <c r="BP44" t="n">
        <v>19416155.3297793</v>
      </c>
      <c r="BQ44" t="n">
        <v>4638462.38886905</v>
      </c>
      <c r="BR44" t="n">
        <v>6190959.12141753</v>
      </c>
      <c r="BS44" t="n">
        <v>74680223.2140364</v>
      </c>
      <c r="BT44" t="n">
        <v>12110348.6152216</v>
      </c>
      <c r="BU44" t="n">
        <v>900897674.548697</v>
      </c>
      <c r="BV44" t="n">
        <v>122343.412669712</v>
      </c>
      <c r="BW44" t="n">
        <v>284206402.589973</v>
      </c>
      <c r="BX44" t="n">
        <v>10928695.7576722</v>
      </c>
      <c r="BY44" t="n">
        <v>6825338.49251624</v>
      </c>
      <c r="BZ44" t="n">
        <v>30973273.9742155</v>
      </c>
      <c r="CA44" t="n">
        <v>672460567.739074</v>
      </c>
      <c r="CB44" t="n">
        <v>109354331.636686</v>
      </c>
      <c r="CC44" t="n">
        <v>0</v>
      </c>
      <c r="CD44" t="n">
        <v>0</v>
      </c>
      <c r="CE44" t="n">
        <v>9569617.30484814</v>
      </c>
      <c r="CF44" t="n">
        <v>429182.83670228</v>
      </c>
      <c r="CG44" t="n">
        <v>0</v>
      </c>
      <c r="CH44" t="n">
        <v>0</v>
      </c>
      <c r="CI44" t="n">
        <v>2726736.64299597</v>
      </c>
      <c r="CJ44" t="n">
        <v>533578.661846078</v>
      </c>
      <c r="CK44" t="n">
        <v>0</v>
      </c>
      <c r="CL44" t="n">
        <v>0</v>
      </c>
      <c r="CM44" t="n">
        <v>11520014.4236452</v>
      </c>
      <c r="CN44" t="n">
        <v>1059841.32697536</v>
      </c>
    </row>
    <row r="45">
      <c r="A45" t="s">
        <v>156</v>
      </c>
      <c r="B45" t="n">
        <v>0</v>
      </c>
      <c r="C45" t="n">
        <v>11376.6983424136</v>
      </c>
      <c r="D45" t="n">
        <v>146.995844946707</v>
      </c>
      <c r="E45" t="n">
        <v>179446.119187596</v>
      </c>
      <c r="F45" t="n">
        <v>26096.5266272879</v>
      </c>
      <c r="G45" t="n">
        <v>17621212.5599059</v>
      </c>
      <c r="H45" t="n">
        <v>11428777.7333547</v>
      </c>
      <c r="I45" t="n">
        <v>2225852.70477594</v>
      </c>
      <c r="J45" t="n">
        <v>2320982.99288896</v>
      </c>
      <c r="K45" t="n">
        <v>1066753.65526941</v>
      </c>
      <c r="L45" t="n">
        <v>5850220.74703282</v>
      </c>
      <c r="M45" t="n">
        <v>4181996.64537213</v>
      </c>
      <c r="N45" t="n">
        <v>752605.766611358</v>
      </c>
      <c r="O45" t="n">
        <v>290011.985627212</v>
      </c>
      <c r="P45" t="n">
        <v>747809.959510631</v>
      </c>
      <c r="Q45" t="n">
        <v>284526.706803347</v>
      </c>
      <c r="R45" t="n">
        <v>1389415.48148003</v>
      </c>
      <c r="S45" t="n">
        <v>4945756.11006582</v>
      </c>
      <c r="T45" t="n">
        <v>4660660.5154463</v>
      </c>
      <c r="U45" t="n">
        <v>74415.3981851353</v>
      </c>
      <c r="V45" t="n">
        <v>14544.1314029998</v>
      </c>
      <c r="W45" t="n">
        <v>1909039.16066131</v>
      </c>
      <c r="X45" t="n">
        <v>4506814.89707821</v>
      </c>
      <c r="Y45" t="n">
        <v>1135000.52317047</v>
      </c>
      <c r="Z45" t="n">
        <v>1002253.09723271</v>
      </c>
      <c r="AA45" t="n">
        <v>3330838.07974537</v>
      </c>
      <c r="AB45" t="n">
        <v>34473086.8173155</v>
      </c>
      <c r="AC45" t="n">
        <v>2164242.13787634</v>
      </c>
      <c r="AD45" t="n">
        <v>114069.076727278</v>
      </c>
      <c r="AE45" t="n">
        <v>623860.707883903</v>
      </c>
      <c r="AF45" t="n">
        <v>2311280.62113498</v>
      </c>
      <c r="AG45" t="n">
        <v>24827.7583626203</v>
      </c>
      <c r="AH45" t="n">
        <v>8645775.77620924</v>
      </c>
      <c r="AI45" t="n">
        <v>0</v>
      </c>
      <c r="AJ45" t="n">
        <v>0</v>
      </c>
      <c r="AK45" t="n">
        <v>0</v>
      </c>
      <c r="AL45" t="n">
        <v>27931.8409622452</v>
      </c>
      <c r="AM45" t="n">
        <v>2247595.70316569</v>
      </c>
      <c r="AN45" t="n">
        <v>62829.4943437372</v>
      </c>
      <c r="AO45" t="n">
        <v>4461531.62099409</v>
      </c>
      <c r="AP45" t="n">
        <v>554451.408888138</v>
      </c>
      <c r="AQ45" t="n">
        <v>6541946.37228377</v>
      </c>
      <c r="AR45" t="n">
        <v>11504968.4554478</v>
      </c>
      <c r="AS45" t="n">
        <v>90139342.7006752</v>
      </c>
      <c r="AT45" t="n">
        <v>25800111.099165</v>
      </c>
      <c r="AU45" t="n">
        <v>29434472.4476043</v>
      </c>
      <c r="AV45" t="n">
        <v>9214814.81481482</v>
      </c>
      <c r="AW45" t="n">
        <v>129747.506989062</v>
      </c>
      <c r="AX45" t="n">
        <v>77635609.5229531</v>
      </c>
      <c r="AY45" t="n">
        <v>6067948.83972561</v>
      </c>
      <c r="AZ45" t="n">
        <v>9578145.79807749</v>
      </c>
      <c r="BA45" t="n">
        <v>39415515.2797385</v>
      </c>
      <c r="BB45" t="n">
        <v>78652156.0241178</v>
      </c>
      <c r="BC45" t="n">
        <v>9777925.79552347</v>
      </c>
      <c r="BD45" t="n">
        <v>49850149.6932515</v>
      </c>
      <c r="BE45" t="n">
        <v>4085971.8003516</v>
      </c>
      <c r="BF45" t="n">
        <v>7858712.66358097</v>
      </c>
      <c r="BG45" t="n">
        <v>55054055.5926423</v>
      </c>
      <c r="BH45" t="n">
        <v>76238952.7441464</v>
      </c>
      <c r="BI45" t="n">
        <v>21085894.7846262</v>
      </c>
      <c r="BJ45" t="n">
        <v>8089821.92452214</v>
      </c>
      <c r="BK45" t="n">
        <v>34422492.5093766</v>
      </c>
      <c r="BL45" t="n">
        <v>1409267.44438809</v>
      </c>
      <c r="BM45" t="n">
        <v>1540078.31223282</v>
      </c>
      <c r="BN45" t="n">
        <v>18958738.9989841</v>
      </c>
      <c r="BO45" t="n">
        <v>6324180.10145146</v>
      </c>
      <c r="BP45" t="n">
        <v>259005.913954223</v>
      </c>
      <c r="BQ45" t="n">
        <v>65496.3748399356</v>
      </c>
      <c r="BR45" t="n">
        <v>179990.991460242</v>
      </c>
      <c r="BS45" t="n">
        <v>336265430.442008</v>
      </c>
      <c r="BT45" t="n">
        <v>11257005.6868785</v>
      </c>
      <c r="BU45" t="n">
        <v>945013905.442988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1646463.5931995</v>
      </c>
      <c r="C46" t="n">
        <v>12500.4583635993</v>
      </c>
      <c r="D46" t="n">
        <v>209905.80862229</v>
      </c>
      <c r="E46" t="n">
        <v>567853.429952317</v>
      </c>
      <c r="F46" t="n">
        <v>1838.09436915405</v>
      </c>
      <c r="G46" t="n">
        <v>26639024.2760376</v>
      </c>
      <c r="H46" t="n">
        <v>1977887.85921277</v>
      </c>
      <c r="I46" t="n">
        <v>99357.2335552212</v>
      </c>
      <c r="J46" t="n">
        <v>49215.2258898611</v>
      </c>
      <c r="K46" t="n">
        <v>44127.0492512243</v>
      </c>
      <c r="L46" t="n">
        <v>129207.839228247</v>
      </c>
      <c r="M46" t="n">
        <v>105030.472173444</v>
      </c>
      <c r="N46" t="n">
        <v>20673.6540922779</v>
      </c>
      <c r="O46" t="n">
        <v>31865.8598669375</v>
      </c>
      <c r="P46" t="n">
        <v>9276.99431708226</v>
      </c>
      <c r="Q46" t="n">
        <v>4936.28681974791</v>
      </c>
      <c r="R46" t="n">
        <v>31805.3801969329</v>
      </c>
      <c r="S46" t="n">
        <v>205295.201742596</v>
      </c>
      <c r="T46" t="n">
        <v>243421.070077418</v>
      </c>
      <c r="U46" t="n">
        <v>14536.1694950882</v>
      </c>
      <c r="V46" t="n">
        <v>0</v>
      </c>
      <c r="W46" t="n">
        <v>166659.343173175</v>
      </c>
      <c r="X46" t="n">
        <v>115760.713857174</v>
      </c>
      <c r="Y46" t="n">
        <v>94797205.3670433</v>
      </c>
      <c r="Z46" t="n">
        <v>741331.283785265</v>
      </c>
      <c r="AA46" t="n">
        <v>90927.9356860618</v>
      </c>
      <c r="AB46" t="n">
        <v>443662.083492412</v>
      </c>
      <c r="AC46" t="n">
        <v>62889.7910308796</v>
      </c>
      <c r="AD46" t="n">
        <v>37600.9550737822</v>
      </c>
      <c r="AE46" t="n">
        <v>23637.3796650847</v>
      </c>
      <c r="AF46" t="n">
        <v>115900.422043897</v>
      </c>
      <c r="AG46" t="n">
        <v>3006275.65279691</v>
      </c>
      <c r="AH46" t="n">
        <v>568776.788152921</v>
      </c>
      <c r="AI46" t="n">
        <v>275193.490061599</v>
      </c>
      <c r="AJ46" t="n">
        <v>1557953.2816197</v>
      </c>
      <c r="AK46" t="n">
        <v>182057.796094499</v>
      </c>
      <c r="AL46" t="n">
        <v>7672.71849130239</v>
      </c>
      <c r="AM46" t="n">
        <v>579572.564333074</v>
      </c>
      <c r="AN46" t="n">
        <v>170287.874467691</v>
      </c>
      <c r="AO46" t="n">
        <v>31125.268920975</v>
      </c>
      <c r="AP46" t="n">
        <v>1552.14941461878</v>
      </c>
      <c r="AQ46" t="n">
        <v>22502.011133431</v>
      </c>
      <c r="AR46" t="n">
        <v>22745.7692106127</v>
      </c>
      <c r="AS46" t="n">
        <v>397026.089017894</v>
      </c>
      <c r="AT46" t="n">
        <v>201824.483792725</v>
      </c>
      <c r="AU46" t="n">
        <v>10382.6425022338</v>
      </c>
      <c r="AV46" t="n">
        <v>124615.750495697</v>
      </c>
      <c r="AW46" t="n">
        <v>19008.482778651</v>
      </c>
      <c r="AX46" t="n">
        <v>240511.202906223</v>
      </c>
      <c r="AY46" t="n">
        <v>44181.0672662178</v>
      </c>
      <c r="AZ46" t="n">
        <v>3248.2251789423</v>
      </c>
      <c r="BA46" t="n">
        <v>85128.010037047</v>
      </c>
      <c r="BB46" t="n">
        <v>108139.15360944</v>
      </c>
      <c r="BC46" t="n">
        <v>130722.595459403</v>
      </c>
      <c r="BD46" t="n">
        <v>399201.905715788</v>
      </c>
      <c r="BE46" t="n">
        <v>97364.2388015253</v>
      </c>
      <c r="BF46" t="n">
        <v>88816.8899394346</v>
      </c>
      <c r="BG46" t="n">
        <v>96325.0778051382</v>
      </c>
      <c r="BH46" t="n">
        <v>143111.598314389</v>
      </c>
      <c r="BI46" t="n">
        <v>101915.117691122</v>
      </c>
      <c r="BJ46" t="n">
        <v>96385.8039418198</v>
      </c>
      <c r="BK46" t="n">
        <v>15288.0577279628</v>
      </c>
      <c r="BL46" t="n">
        <v>54451.7322720775</v>
      </c>
      <c r="BM46" t="n">
        <v>43259.3287524895</v>
      </c>
      <c r="BN46" t="n">
        <v>228200.359771003</v>
      </c>
      <c r="BO46" t="n">
        <v>184517.905455431</v>
      </c>
      <c r="BP46" t="n">
        <v>261622.931122</v>
      </c>
      <c r="BQ46" t="n">
        <v>43179.559588091</v>
      </c>
      <c r="BR46" t="n">
        <v>953063.159189321</v>
      </c>
      <c r="BS46" t="n">
        <v>5838436.36099883</v>
      </c>
      <c r="BT46" t="n">
        <v>16113780.493024</v>
      </c>
      <c r="BU46" t="n">
        <v>12275573.640269</v>
      </c>
      <c r="BV46" t="n">
        <v>0</v>
      </c>
      <c r="BW46" t="n">
        <v>0</v>
      </c>
      <c r="BX46" t="n">
        <v>0</v>
      </c>
      <c r="BY46" t="n">
        <v>0</v>
      </c>
      <c r="BZ46" t="n">
        <v>14702058.6218158</v>
      </c>
      <c r="CA46" t="n">
        <v>67153048.5202029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420937.838669304</v>
      </c>
      <c r="D47" t="n">
        <v>3086.91274388086</v>
      </c>
      <c r="E47" t="n">
        <v>18985399.4100477</v>
      </c>
      <c r="F47" t="n">
        <v>1338.283416784</v>
      </c>
      <c r="G47" t="n">
        <v>143364979.372846</v>
      </c>
      <c r="H47" t="n">
        <v>0</v>
      </c>
      <c r="I47" t="n">
        <v>22675874.4299049</v>
      </c>
      <c r="J47" t="n">
        <v>17081620.4476652</v>
      </c>
      <c r="K47" t="n">
        <v>1681705.76242472</v>
      </c>
      <c r="L47" t="n">
        <v>2616430.38435136</v>
      </c>
      <c r="M47" t="n">
        <v>567556.687586217</v>
      </c>
      <c r="N47" t="n">
        <v>0</v>
      </c>
      <c r="O47" t="n">
        <v>82860.5673220605</v>
      </c>
      <c r="P47" t="n">
        <v>66337.9802791689</v>
      </c>
      <c r="Q47" t="n">
        <v>0</v>
      </c>
      <c r="R47" t="n">
        <v>6947077.40740017</v>
      </c>
      <c r="S47" t="n">
        <v>9836559.37446424</v>
      </c>
      <c r="T47" t="n">
        <v>10617110.0531243</v>
      </c>
      <c r="U47" t="n">
        <v>471297.52183919</v>
      </c>
      <c r="V47" t="n">
        <v>0</v>
      </c>
      <c r="W47" t="n">
        <v>14775440.079091</v>
      </c>
      <c r="X47" t="n">
        <v>20485522.2594464</v>
      </c>
      <c r="Y47" t="n">
        <v>20165175.9616621</v>
      </c>
      <c r="Z47" t="n">
        <v>1531899.04292479</v>
      </c>
      <c r="AA47" t="n">
        <v>11068312.873688</v>
      </c>
      <c r="AB47" t="n">
        <v>1355282923.86135</v>
      </c>
      <c r="AC47" t="n">
        <v>33948194.8569363</v>
      </c>
      <c r="AD47" t="n">
        <v>30627547.1012742</v>
      </c>
      <c r="AE47" t="n">
        <v>11014368.3598813</v>
      </c>
      <c r="AF47" t="n">
        <v>200398888.217737</v>
      </c>
      <c r="AG47" t="n">
        <v>700018647.034079</v>
      </c>
      <c r="AH47" t="n">
        <v>34390362.8805266</v>
      </c>
      <c r="AI47" t="n">
        <v>63057413.4931374</v>
      </c>
      <c r="AJ47" t="n">
        <v>1006461111.39184</v>
      </c>
      <c r="AK47" t="n">
        <v>19965796.1572438</v>
      </c>
      <c r="AL47" t="n">
        <v>6382425.65987304</v>
      </c>
      <c r="AM47" t="n">
        <v>373945359.099526</v>
      </c>
      <c r="AN47" t="n">
        <v>59478587.9787379</v>
      </c>
      <c r="AO47" t="n">
        <v>22909610.7839934</v>
      </c>
      <c r="AP47" t="n">
        <v>3785808.34603875</v>
      </c>
      <c r="AQ47" t="n">
        <v>1433539.55288305</v>
      </c>
      <c r="AR47" t="n">
        <v>34196428.7308986</v>
      </c>
      <c r="AS47" t="n">
        <v>21602359.7161963</v>
      </c>
      <c r="AT47" t="n">
        <v>62818890.441888</v>
      </c>
      <c r="AU47" t="n">
        <v>1606375.70340055</v>
      </c>
      <c r="AV47" t="n">
        <v>0</v>
      </c>
      <c r="AW47" t="n">
        <v>0</v>
      </c>
      <c r="AX47" t="n">
        <v>0</v>
      </c>
      <c r="AY47" t="n">
        <v>25947182.8397504</v>
      </c>
      <c r="AZ47" t="n">
        <v>9755518.86841226</v>
      </c>
      <c r="BA47" t="n">
        <v>15801715.5851204</v>
      </c>
      <c r="BB47" t="n">
        <v>145330156.907963</v>
      </c>
      <c r="BC47" t="n">
        <v>21117345.4443244</v>
      </c>
      <c r="BD47" t="n">
        <v>39429496.9325153</v>
      </c>
      <c r="BE47" t="n">
        <v>27863373.9638435</v>
      </c>
      <c r="BF47" t="n">
        <v>5688211.07078241</v>
      </c>
      <c r="BG47" t="n">
        <v>48128465.7967526</v>
      </c>
      <c r="BH47" t="n">
        <v>111315607.880039</v>
      </c>
      <c r="BI47" t="n">
        <v>11439561.6866741</v>
      </c>
      <c r="BJ47" t="n">
        <v>31847582.094429</v>
      </c>
      <c r="BK47" t="n">
        <v>8083859.39690696</v>
      </c>
      <c r="BL47" t="n">
        <v>9864872.11071661</v>
      </c>
      <c r="BM47" t="n">
        <v>1343226.19713539</v>
      </c>
      <c r="BN47" t="n">
        <v>14033620.5735829</v>
      </c>
      <c r="BO47" t="n">
        <v>19794326.4192322</v>
      </c>
      <c r="BP47" t="n">
        <v>18175.8536108227</v>
      </c>
      <c r="BQ47" t="n">
        <v>2385939.36916908</v>
      </c>
      <c r="BR47" t="n">
        <v>11022305.4770415</v>
      </c>
      <c r="BS47" t="n">
        <v>15978014.7421158</v>
      </c>
      <c r="BT47" t="n">
        <v>36535311.3565256</v>
      </c>
      <c r="BU47" t="n">
        <v>304743742.550656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146778487.6672</v>
      </c>
      <c r="CB47" t="n">
        <v>47054304.6670017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10715813.6964068</v>
      </c>
      <c r="C48" t="n">
        <v>0</v>
      </c>
      <c r="D48" t="n">
        <v>446.545302617016</v>
      </c>
      <c r="E48" t="n">
        <v>2671102.88704497</v>
      </c>
      <c r="F48" t="n">
        <v>0</v>
      </c>
      <c r="G48" t="n">
        <v>5783804.97800938</v>
      </c>
      <c r="H48" t="n">
        <v>0</v>
      </c>
      <c r="I48" t="n">
        <v>20742970.7036428</v>
      </c>
      <c r="J48" t="n">
        <v>17678297.8626423</v>
      </c>
      <c r="K48" t="n">
        <v>438433.288073515</v>
      </c>
      <c r="L48" t="n">
        <v>8871042.35672245</v>
      </c>
      <c r="M48" t="n">
        <v>6609160.47973418</v>
      </c>
      <c r="N48" t="n">
        <v>6922325.31428652</v>
      </c>
      <c r="O48" t="n">
        <v>881001.023746051</v>
      </c>
      <c r="P48" t="n">
        <v>274802.883245714</v>
      </c>
      <c r="Q48" t="n">
        <v>314649.284766168</v>
      </c>
      <c r="R48" t="n">
        <v>1465548.21948086</v>
      </c>
      <c r="S48" t="n">
        <v>13048850.1962249</v>
      </c>
      <c r="T48" t="n">
        <v>39247197.9744461</v>
      </c>
      <c r="U48" t="n">
        <v>3817898.29208902</v>
      </c>
      <c r="V48" t="n">
        <v>1038283.89628092</v>
      </c>
      <c r="W48" t="n">
        <v>33935152.034456</v>
      </c>
      <c r="X48" t="n">
        <v>19084205.2729093</v>
      </c>
      <c r="Y48" t="n">
        <v>12479536.1357212</v>
      </c>
      <c r="Z48" t="n">
        <v>11015209.7875428</v>
      </c>
      <c r="AA48" t="n">
        <v>32460741.5734879</v>
      </c>
      <c r="AB48" t="n">
        <v>305825760.165147</v>
      </c>
      <c r="AC48" t="n">
        <v>65573481.3846007</v>
      </c>
      <c r="AD48" t="n">
        <v>58715900.6413955</v>
      </c>
      <c r="AE48" t="n">
        <v>44155275.2140245</v>
      </c>
      <c r="AF48" t="n">
        <v>185662031.285026</v>
      </c>
      <c r="AG48" t="n">
        <v>1935831.02842704</v>
      </c>
      <c r="AH48" t="n">
        <v>13940.666441215</v>
      </c>
      <c r="AI48" t="n">
        <v>7207039.90152115</v>
      </c>
      <c r="AJ48" t="n">
        <v>65387564.8463451</v>
      </c>
      <c r="AK48" t="n">
        <v>2265022.73701325</v>
      </c>
      <c r="AL48" t="n">
        <v>2085935.12285962</v>
      </c>
      <c r="AM48" t="n">
        <v>7150079.16014407</v>
      </c>
      <c r="AN48" t="n">
        <v>36624681.6918293</v>
      </c>
      <c r="AO48" t="n">
        <v>3836510.75047239</v>
      </c>
      <c r="AP48" t="n">
        <v>509586.500861042</v>
      </c>
      <c r="AQ48" t="n">
        <v>2183170.03003343</v>
      </c>
      <c r="AR48" t="n">
        <v>5546834.84277508</v>
      </c>
      <c r="AS48" t="n">
        <v>0</v>
      </c>
      <c r="AT48" t="n">
        <v>0</v>
      </c>
      <c r="AU48" t="n">
        <v>215288.055426394</v>
      </c>
      <c r="AV48" t="n">
        <v>0</v>
      </c>
      <c r="AW48" t="n">
        <v>10948.5596142831</v>
      </c>
      <c r="AX48" t="n">
        <v>2252070.92523818</v>
      </c>
      <c r="AY48" t="n">
        <v>2214706.76474664</v>
      </c>
      <c r="AZ48" t="n">
        <v>1332096.40388405</v>
      </c>
      <c r="BA48" t="n">
        <v>2034839.27670343</v>
      </c>
      <c r="BB48" t="n">
        <v>10547145.9896577</v>
      </c>
      <c r="BC48" t="n">
        <v>207058.417100679</v>
      </c>
      <c r="BD48" t="n">
        <v>93221077.4427043</v>
      </c>
      <c r="BE48" t="n">
        <v>2675229.87378578</v>
      </c>
      <c r="BF48" t="n">
        <v>1409659.64362102</v>
      </c>
      <c r="BG48" t="n">
        <v>7845096.89036659</v>
      </c>
      <c r="BH48" t="n">
        <v>17418274.2632629</v>
      </c>
      <c r="BI48" t="n">
        <v>2802011.46093945</v>
      </c>
      <c r="BJ48" t="n">
        <v>3096590.77431381</v>
      </c>
      <c r="BK48" t="n">
        <v>1775220.79039436</v>
      </c>
      <c r="BL48" t="n">
        <v>972261.140383773</v>
      </c>
      <c r="BM48" t="n">
        <v>3447289.09902873</v>
      </c>
      <c r="BN48" t="n">
        <v>7721131.06302518</v>
      </c>
      <c r="BO48" t="n">
        <v>6440063.9044584</v>
      </c>
      <c r="BP48" t="n">
        <v>1003068.35642892</v>
      </c>
      <c r="BQ48" t="n">
        <v>6068447.0726469</v>
      </c>
      <c r="BR48" t="n">
        <v>0</v>
      </c>
      <c r="BS48" t="n">
        <v>58336408.290851</v>
      </c>
      <c r="BT48" t="n">
        <v>623903.073616222</v>
      </c>
      <c r="BU48" t="n">
        <v>2717294.42503625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1857065.89582351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976318.253824352</v>
      </c>
      <c r="C49" t="n">
        <v>0</v>
      </c>
      <c r="D49" t="n">
        <v>1680.87392141748</v>
      </c>
      <c r="E49" t="n">
        <v>16282.5346602502</v>
      </c>
      <c r="F49" t="n">
        <v>926.240476449161</v>
      </c>
      <c r="G49" t="n">
        <v>2260591.4789392</v>
      </c>
      <c r="H49" t="n">
        <v>7255647.34625002</v>
      </c>
      <c r="I49" t="n">
        <v>350355.254736784</v>
      </c>
      <c r="J49" t="n">
        <v>9236.87469254037</v>
      </c>
      <c r="K49" t="n">
        <v>86569.6050994231</v>
      </c>
      <c r="L49" t="n">
        <v>1160646.74963657</v>
      </c>
      <c r="M49" t="n">
        <v>561178.582116863</v>
      </c>
      <c r="N49" t="n">
        <v>660252.404254843</v>
      </c>
      <c r="O49" t="n">
        <v>18796.4507883699</v>
      </c>
      <c r="P49" t="n">
        <v>82640.7385228565</v>
      </c>
      <c r="Q49" t="n">
        <v>508999.774185745</v>
      </c>
      <c r="R49" t="n">
        <v>134006.502284161</v>
      </c>
      <c r="S49" t="n">
        <v>783055.76263088</v>
      </c>
      <c r="T49" t="n">
        <v>96755.9279230687</v>
      </c>
      <c r="U49" t="n">
        <v>0</v>
      </c>
      <c r="V49" t="n">
        <v>0</v>
      </c>
      <c r="W49" t="n">
        <v>83051.592117609</v>
      </c>
      <c r="X49" t="n">
        <v>1179237.2236116</v>
      </c>
      <c r="Y49" t="n">
        <v>104739.490620782</v>
      </c>
      <c r="Z49" t="n">
        <v>138292.402077031</v>
      </c>
      <c r="AA49" t="n">
        <v>75088.8714683074</v>
      </c>
      <c r="AB49" t="n">
        <v>35857966.1854323</v>
      </c>
      <c r="AC49" t="n">
        <v>3587589.42593359</v>
      </c>
      <c r="AD49" t="n">
        <v>721183.268165355</v>
      </c>
      <c r="AE49" t="n">
        <v>2301963.83041695</v>
      </c>
      <c r="AF49" t="n">
        <v>5987290.53169992</v>
      </c>
      <c r="AG49" t="n">
        <v>227581.071789117</v>
      </c>
      <c r="AH49" t="n">
        <v>884641.787694353</v>
      </c>
      <c r="AI49" t="n">
        <v>0</v>
      </c>
      <c r="AJ49" t="n">
        <v>357044.029641887</v>
      </c>
      <c r="AK49" t="n">
        <v>174430.84379016</v>
      </c>
      <c r="AL49" t="n">
        <v>0</v>
      </c>
      <c r="AM49" t="n">
        <v>2598659.55207072</v>
      </c>
      <c r="AN49" t="n">
        <v>648152.524717274</v>
      </c>
      <c r="AO49" t="n">
        <v>272687219.071234</v>
      </c>
      <c r="AP49" t="n">
        <v>114738.825519826</v>
      </c>
      <c r="AQ49" t="n">
        <v>3138041.6037921</v>
      </c>
      <c r="AR49" t="n">
        <v>9997294.63317292</v>
      </c>
      <c r="AS49" t="n">
        <v>5996342.94992217</v>
      </c>
      <c r="AT49" t="n">
        <v>6652744.81615092</v>
      </c>
      <c r="AU49" t="n">
        <v>6584109.27217765</v>
      </c>
      <c r="AV49" t="n">
        <v>1379884.08745934</v>
      </c>
      <c r="AW49" t="n">
        <v>0</v>
      </c>
      <c r="AX49" t="n">
        <v>4035081.15892488</v>
      </c>
      <c r="AY49" t="n">
        <v>2047236.78396871</v>
      </c>
      <c r="AZ49" t="n">
        <v>8164397.68879872</v>
      </c>
      <c r="BA49" t="n">
        <v>8182323.25110852</v>
      </c>
      <c r="BB49" t="n">
        <v>37151825.123058</v>
      </c>
      <c r="BC49" t="n">
        <v>9302242.97966817</v>
      </c>
      <c r="BD49" t="n">
        <v>17569476.3814833</v>
      </c>
      <c r="BE49" t="n">
        <v>211494.632361641</v>
      </c>
      <c r="BF49" t="n">
        <v>4810582.68736552</v>
      </c>
      <c r="BG49" t="n">
        <v>18507042.2418416</v>
      </c>
      <c r="BH49" t="n">
        <v>20721313.382278</v>
      </c>
      <c r="BI49" t="n">
        <v>1885640.24819993</v>
      </c>
      <c r="BJ49" t="n">
        <v>12564833.2400267</v>
      </c>
      <c r="BK49" t="n">
        <v>363677.985304512</v>
      </c>
      <c r="BL49" t="n">
        <v>539715.83139774</v>
      </c>
      <c r="BM49" t="n">
        <v>758758.834869563</v>
      </c>
      <c r="BN49" t="n">
        <v>1200887.10350622</v>
      </c>
      <c r="BO49" t="n">
        <v>4642097.20557733</v>
      </c>
      <c r="BP49" t="n">
        <v>132780.612834663</v>
      </c>
      <c r="BQ49" t="n">
        <v>4953233.90165602</v>
      </c>
      <c r="BR49" t="n">
        <v>134592.833026003</v>
      </c>
      <c r="BS49" t="n">
        <v>85624421.5270304</v>
      </c>
      <c r="BT49" t="n">
        <v>1661488.97151926</v>
      </c>
      <c r="BU49" t="n">
        <v>995533805.533252</v>
      </c>
      <c r="BV49" t="n">
        <v>0</v>
      </c>
      <c r="BW49" t="n">
        <v>0</v>
      </c>
      <c r="BX49" t="n">
        <v>1100040474.19317</v>
      </c>
      <c r="BY49" t="n">
        <v>0</v>
      </c>
      <c r="BZ49" t="n">
        <v>6081755.91145419</v>
      </c>
      <c r="CA49" t="n">
        <v>779729939.465234</v>
      </c>
      <c r="CB49" t="n">
        <v>-87057064.5095158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89313689.3933688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245723.813056945</v>
      </c>
      <c r="AC50" t="n">
        <v>990153.308159484</v>
      </c>
      <c r="AD50" t="n">
        <v>895994.601440458</v>
      </c>
      <c r="AE50" t="n">
        <v>0</v>
      </c>
      <c r="AF50" t="n">
        <v>334896.032526713</v>
      </c>
      <c r="AG50" t="n">
        <v>51892.5163549286</v>
      </c>
      <c r="AH50" t="n">
        <v>0</v>
      </c>
      <c r="AI50" t="n">
        <v>0</v>
      </c>
      <c r="AJ50" t="n">
        <v>6381.71249173698</v>
      </c>
      <c r="AK50" t="n">
        <v>0</v>
      </c>
      <c r="AL50" t="n">
        <v>64446.7675213562</v>
      </c>
      <c r="AM50" t="n">
        <v>39293.5960375063</v>
      </c>
      <c r="AN50" t="n">
        <v>0</v>
      </c>
      <c r="AO50" t="n">
        <v>601066.624721487</v>
      </c>
      <c r="AP50" t="n">
        <v>33373158.3286802</v>
      </c>
      <c r="AQ50" t="n">
        <v>125346971.695593</v>
      </c>
      <c r="AR50" t="n">
        <v>456034.588933061</v>
      </c>
      <c r="AS50" t="n">
        <v>182316.064106504</v>
      </c>
      <c r="AT50" t="n">
        <v>94268.7504737667</v>
      </c>
      <c r="AU50" t="n">
        <v>0</v>
      </c>
      <c r="AV50" t="n">
        <v>0</v>
      </c>
      <c r="AW50" t="n">
        <v>0</v>
      </c>
      <c r="AX50" t="n">
        <v>154968.201766885</v>
      </c>
      <c r="AY50" t="n">
        <v>606771.973431233</v>
      </c>
      <c r="AZ50" t="n">
        <v>30893.9655997047</v>
      </c>
      <c r="BA50" t="n">
        <v>148964.615090257</v>
      </c>
      <c r="BB50" t="n">
        <v>9239647.13811001</v>
      </c>
      <c r="BC50" t="n">
        <v>2245842.55845613</v>
      </c>
      <c r="BD50" t="n">
        <v>187905.783823367</v>
      </c>
      <c r="BE50" t="n">
        <v>0</v>
      </c>
      <c r="BF50" t="n">
        <v>2743818.82869356</v>
      </c>
      <c r="BG50" t="n">
        <v>258316.47628666</v>
      </c>
      <c r="BH50" t="n">
        <v>97368.7115926471</v>
      </c>
      <c r="BI50" t="n">
        <v>7298203.25598223</v>
      </c>
      <c r="BJ50" t="n">
        <v>7261321.34820123</v>
      </c>
      <c r="BK50" t="n">
        <v>1063895.47998112</v>
      </c>
      <c r="BL50" t="n">
        <v>264406.734065198</v>
      </c>
      <c r="BM50" t="n">
        <v>3006648.27416312</v>
      </c>
      <c r="BN50" t="n">
        <v>12522647.3710474</v>
      </c>
      <c r="BO50" t="n">
        <v>1141983.95998955</v>
      </c>
      <c r="BP50" t="n">
        <v>32328.3619241779</v>
      </c>
      <c r="BQ50" t="n">
        <v>1570623.06164738</v>
      </c>
      <c r="BR50" t="n">
        <v>88656.0259778106</v>
      </c>
      <c r="BS50" t="n">
        <v>2112842.35665148</v>
      </c>
      <c r="BT50" t="n">
        <v>0</v>
      </c>
      <c r="BU50" t="n">
        <v>94199918.6258831</v>
      </c>
      <c r="BV50" t="n">
        <v>0</v>
      </c>
      <c r="BW50" t="n">
        <v>0</v>
      </c>
      <c r="BX50" t="n">
        <v>23707750.3187307</v>
      </c>
      <c r="BY50" t="n">
        <v>0</v>
      </c>
      <c r="BZ50" t="n">
        <v>-330130.964421637</v>
      </c>
      <c r="CA50" t="n">
        <v>73165728.4665448</v>
      </c>
      <c r="CB50" t="n">
        <v>-122056387.977163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15167357.8898493</v>
      </c>
      <c r="C51" t="n">
        <v>52248.245589769</v>
      </c>
      <c r="D51" t="n">
        <v>45905.99880456</v>
      </c>
      <c r="E51" t="n">
        <v>3696759.07682041</v>
      </c>
      <c r="F51" t="n">
        <v>76387.936509919</v>
      </c>
      <c r="G51" t="n">
        <v>15764687.2466181</v>
      </c>
      <c r="H51" t="n">
        <v>73711565.0594368</v>
      </c>
      <c r="I51" t="n">
        <v>8716401.76407671</v>
      </c>
      <c r="J51" t="n">
        <v>11641367.196096</v>
      </c>
      <c r="K51" t="n">
        <v>2503088.62671822</v>
      </c>
      <c r="L51" t="n">
        <v>22827258.1370566</v>
      </c>
      <c r="M51" t="n">
        <v>21705325.308368</v>
      </c>
      <c r="N51" t="n">
        <v>6830489.2631489</v>
      </c>
      <c r="O51" t="n">
        <v>1970667.44744044</v>
      </c>
      <c r="P51" t="n">
        <v>1915015.7525539</v>
      </c>
      <c r="Q51" t="n">
        <v>3085009.55676104</v>
      </c>
      <c r="R51" t="n">
        <v>3817195.32334806</v>
      </c>
      <c r="S51" t="n">
        <v>17017259.2336021</v>
      </c>
      <c r="T51" t="n">
        <v>20451743.6756102</v>
      </c>
      <c r="U51" t="n">
        <v>509924.153325692</v>
      </c>
      <c r="V51" t="n">
        <v>162216.168919004</v>
      </c>
      <c r="W51" t="n">
        <v>5970746.74406539</v>
      </c>
      <c r="X51" t="n">
        <v>17203406.0229881</v>
      </c>
      <c r="Y51" t="n">
        <v>1563769.67097853</v>
      </c>
      <c r="Z51" t="n">
        <v>2961689.25458035</v>
      </c>
      <c r="AA51" t="n">
        <v>6216566.05142359</v>
      </c>
      <c r="AB51" t="n">
        <v>171067702.050115</v>
      </c>
      <c r="AC51" t="n">
        <v>22026331.958697</v>
      </c>
      <c r="AD51" t="n">
        <v>9654172.75709106</v>
      </c>
      <c r="AE51" t="n">
        <v>6210116.41611875</v>
      </c>
      <c r="AF51" t="n">
        <v>61444458.8409391</v>
      </c>
      <c r="AG51" t="n">
        <v>31935016.6724614</v>
      </c>
      <c r="AH51" t="n">
        <v>1878733.10770119</v>
      </c>
      <c r="AI51" t="n">
        <v>2631172.5187656</v>
      </c>
      <c r="AJ51" t="n">
        <v>21105503.7535003</v>
      </c>
      <c r="AK51" t="n">
        <v>17279221.0359708</v>
      </c>
      <c r="AL51" t="n">
        <v>7740364.56323206</v>
      </c>
      <c r="AM51" t="n">
        <v>11038226.1555514</v>
      </c>
      <c r="AN51" t="n">
        <v>2432052.83497682</v>
      </c>
      <c r="AO51" t="n">
        <v>26262824.1844761</v>
      </c>
      <c r="AP51" t="n">
        <v>2491962.23225902</v>
      </c>
      <c r="AQ51" t="n">
        <v>701026141.458684</v>
      </c>
      <c r="AR51" t="n">
        <v>82341079.6801695</v>
      </c>
      <c r="AS51" t="n">
        <v>114326951.22972</v>
      </c>
      <c r="AT51" t="n">
        <v>42971160.7514221</v>
      </c>
      <c r="AU51" t="n">
        <v>50029846.3939376</v>
      </c>
      <c r="AV51" t="n">
        <v>26624176.2693431</v>
      </c>
      <c r="AW51" t="n">
        <v>184437.213921326</v>
      </c>
      <c r="AX51" t="n">
        <v>82048750.3203186</v>
      </c>
      <c r="AY51" t="n">
        <v>8625642.25076391</v>
      </c>
      <c r="AZ51" t="n">
        <v>33951266.3607565</v>
      </c>
      <c r="BA51" t="n">
        <v>25833551.1321121</v>
      </c>
      <c r="BB51" t="n">
        <v>110910235.590123</v>
      </c>
      <c r="BC51" t="n">
        <v>47979175.2060614</v>
      </c>
      <c r="BD51" t="n">
        <v>121806207.930977</v>
      </c>
      <c r="BE51" t="n">
        <v>11788744.8038641</v>
      </c>
      <c r="BF51" t="n">
        <v>21566609.352111</v>
      </c>
      <c r="BG51" t="n">
        <v>84713919.8000873</v>
      </c>
      <c r="BH51" t="n">
        <v>40759518.654533</v>
      </c>
      <c r="BI51" t="n">
        <v>26653881.0392343</v>
      </c>
      <c r="BJ51" t="n">
        <v>12709411.3504839</v>
      </c>
      <c r="BK51" t="n">
        <v>7713593.65896357</v>
      </c>
      <c r="BL51" t="n">
        <v>14427723.171288</v>
      </c>
      <c r="BM51" t="n">
        <v>31338091.6504186</v>
      </c>
      <c r="BN51" t="n">
        <v>56124197.26576</v>
      </c>
      <c r="BO51" t="n">
        <v>67389200.3740729</v>
      </c>
      <c r="BP51" t="n">
        <v>19841500.9118342</v>
      </c>
      <c r="BQ51" t="n">
        <v>56172354.2761884</v>
      </c>
      <c r="BR51" t="n">
        <v>11496910.7447293</v>
      </c>
      <c r="BS51" t="n">
        <v>919156369.729613</v>
      </c>
      <c r="BT51" t="n">
        <v>13667734.3734726</v>
      </c>
      <c r="BU51" t="n">
        <v>4660731752.24798</v>
      </c>
      <c r="BV51" t="n">
        <v>0</v>
      </c>
      <c r="BW51" t="n">
        <v>54438787.9022966</v>
      </c>
      <c r="BX51" t="n">
        <v>242431583.002159</v>
      </c>
      <c r="BY51" t="n">
        <v>0</v>
      </c>
      <c r="BZ51" t="n">
        <v>0</v>
      </c>
      <c r="CA51" t="n">
        <v>122622197.616629</v>
      </c>
      <c r="CB51" t="n">
        <v>-2707880.82624561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4346.06652766777</v>
      </c>
      <c r="E52" t="n">
        <v>204057.251886122</v>
      </c>
      <c r="F52" t="n">
        <v>2758.31635694864</v>
      </c>
      <c r="G52" t="n">
        <v>47484127.2546985</v>
      </c>
      <c r="H52" t="n">
        <v>21508383.0628091</v>
      </c>
      <c r="I52" t="n">
        <v>11998321.2553801</v>
      </c>
      <c r="J52" t="n">
        <v>12623731.2191</v>
      </c>
      <c r="K52" t="n">
        <v>4757753.37502803</v>
      </c>
      <c r="L52" t="n">
        <v>31445589.4293468</v>
      </c>
      <c r="M52" t="n">
        <v>31340435.4702062</v>
      </c>
      <c r="N52" t="n">
        <v>3726409.2864593</v>
      </c>
      <c r="O52" t="n">
        <v>4767296.45047582</v>
      </c>
      <c r="P52" t="n">
        <v>1898795.32575145</v>
      </c>
      <c r="Q52" t="n">
        <v>5562149.53726492</v>
      </c>
      <c r="R52" t="n">
        <v>7961735.13930488</v>
      </c>
      <c r="S52" t="n">
        <v>23301105.7310232</v>
      </c>
      <c r="T52" t="n">
        <v>20608618.2760021</v>
      </c>
      <c r="U52" t="n">
        <v>573545.793111381</v>
      </c>
      <c r="V52" t="n">
        <v>165388.669234142</v>
      </c>
      <c r="W52" t="n">
        <v>12084859.7743428</v>
      </c>
      <c r="X52" t="n">
        <v>9917066.54742953</v>
      </c>
      <c r="Y52" t="n">
        <v>2850221.76872391</v>
      </c>
      <c r="Z52" t="n">
        <v>2792568.33795046</v>
      </c>
      <c r="AA52" t="n">
        <v>5305082.65030982</v>
      </c>
      <c r="AB52" t="n">
        <v>52381209.54895</v>
      </c>
      <c r="AC52" t="n">
        <v>48040672.2865303</v>
      </c>
      <c r="AD52" t="n">
        <v>16920196.8884366</v>
      </c>
      <c r="AE52" t="n">
        <v>16275005.6175107</v>
      </c>
      <c r="AF52" t="n">
        <v>88409138.7236978</v>
      </c>
      <c r="AG52" t="n">
        <v>11653376.966797</v>
      </c>
      <c r="AH52" t="n">
        <v>0</v>
      </c>
      <c r="AI52" t="n">
        <v>0</v>
      </c>
      <c r="AJ52" t="n">
        <v>2140793.17704985</v>
      </c>
      <c r="AK52" t="n">
        <v>2616708.54464583</v>
      </c>
      <c r="AL52" t="n">
        <v>416885.544064294</v>
      </c>
      <c r="AM52" t="n">
        <v>6796173.6514621</v>
      </c>
      <c r="AN52" t="n">
        <v>1338187.4470479</v>
      </c>
      <c r="AO52" t="n">
        <v>39156324.2476554</v>
      </c>
      <c r="AP52" t="n">
        <v>475398.605693637</v>
      </c>
      <c r="AQ52" t="n">
        <v>24857352.7008845</v>
      </c>
      <c r="AR52" t="n">
        <v>78068064.1529074</v>
      </c>
      <c r="AS52" t="n">
        <v>228618944.677155</v>
      </c>
      <c r="AT52" t="n">
        <v>37840915.5490835</v>
      </c>
      <c r="AU52" t="n">
        <v>34961447.7538077</v>
      </c>
      <c r="AV52" t="n">
        <v>64788986.9412206</v>
      </c>
      <c r="AW52" t="n">
        <v>12295.2040028911</v>
      </c>
      <c r="AX52" t="n">
        <v>8615022.95157996</v>
      </c>
      <c r="AY52" t="n">
        <v>4393478.33894592</v>
      </c>
      <c r="AZ52" t="n">
        <v>36612327.3905823</v>
      </c>
      <c r="BA52" t="n">
        <v>41025522.9742902</v>
      </c>
      <c r="BB52" t="n">
        <v>169863218.687527</v>
      </c>
      <c r="BC52" t="n">
        <v>34712027.5111549</v>
      </c>
      <c r="BD52" t="n">
        <v>294679650.306837</v>
      </c>
      <c r="BE52" t="n">
        <v>16199873.4024252</v>
      </c>
      <c r="BF52" t="n">
        <v>43055124.4653804</v>
      </c>
      <c r="BG52" t="n">
        <v>25933375.779902</v>
      </c>
      <c r="BH52" t="n">
        <v>47962626.0088751</v>
      </c>
      <c r="BI52" t="n">
        <v>6473951.68093393</v>
      </c>
      <c r="BJ52" t="n">
        <v>12615193.8530557</v>
      </c>
      <c r="BK52" t="n">
        <v>9533293.27743688</v>
      </c>
      <c r="BL52" t="n">
        <v>13096407.5147386</v>
      </c>
      <c r="BM52" t="n">
        <v>7206357.53218263</v>
      </c>
      <c r="BN52" t="n">
        <v>97730220.3541563</v>
      </c>
      <c r="BO52" t="n">
        <v>80104978.2926913</v>
      </c>
      <c r="BP52" t="n">
        <v>4667915.29550292</v>
      </c>
      <c r="BQ52" t="n">
        <v>23993328.3590979</v>
      </c>
      <c r="BR52" t="n">
        <v>2797250.33372049</v>
      </c>
      <c r="BS52" t="n">
        <v>369557109.227422</v>
      </c>
      <c r="BT52" t="n">
        <v>18992430.7057074</v>
      </c>
      <c r="BU52" t="n">
        <v>793203759.833338</v>
      </c>
      <c r="BV52" t="n">
        <v>0</v>
      </c>
      <c r="BW52" t="n">
        <v>0</v>
      </c>
      <c r="BX52" t="n">
        <v>245286371.70546</v>
      </c>
      <c r="BY52" t="n">
        <v>0</v>
      </c>
      <c r="BZ52" t="n">
        <v>0</v>
      </c>
      <c r="CA52" t="n">
        <v>65111660.0560457</v>
      </c>
      <c r="CB52" t="n">
        <v>-22217358.9685329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65818322.1377658</v>
      </c>
    </row>
    <row r="53">
      <c r="A53" t="s">
        <v>164</v>
      </c>
      <c r="B53" t="n">
        <v>22445935.0372357</v>
      </c>
      <c r="C53" t="n">
        <v>856372.873570063</v>
      </c>
      <c r="D53" t="n">
        <v>74632.7662390244</v>
      </c>
      <c r="E53" t="n">
        <v>5827209.64137829</v>
      </c>
      <c r="F53" t="n">
        <v>26758.768515603</v>
      </c>
      <c r="G53" t="n">
        <v>23626593.7573097</v>
      </c>
      <c r="H53" t="n">
        <v>33339849.4308398</v>
      </c>
      <c r="I53" t="n">
        <v>5358593.21257301</v>
      </c>
      <c r="J53" t="n">
        <v>4576487.00196734</v>
      </c>
      <c r="K53" t="n">
        <v>3098839.41176116</v>
      </c>
      <c r="L53" t="n">
        <v>12619471.6971105</v>
      </c>
      <c r="M53" t="n">
        <v>14906089.4217784</v>
      </c>
      <c r="N53" t="n">
        <v>22156850.4972875</v>
      </c>
      <c r="O53" t="n">
        <v>5201634.82011007</v>
      </c>
      <c r="P53" t="n">
        <v>4368094.90141032</v>
      </c>
      <c r="Q53" t="n">
        <v>1326871.85056034</v>
      </c>
      <c r="R53" t="n">
        <v>3144560.88402562</v>
      </c>
      <c r="S53" t="n">
        <v>19118473.2509922</v>
      </c>
      <c r="T53" t="n">
        <v>20026418.4240323</v>
      </c>
      <c r="U53" t="n">
        <v>705637.171732646</v>
      </c>
      <c r="V53" t="n">
        <v>1339212.93036071</v>
      </c>
      <c r="W53" t="n">
        <v>5997784.10941171</v>
      </c>
      <c r="X53" t="n">
        <v>7804152.83102312</v>
      </c>
      <c r="Y53" t="n">
        <v>6102533.06995953</v>
      </c>
      <c r="Z53" t="n">
        <v>8168265.86992466</v>
      </c>
      <c r="AA53" t="n">
        <v>8255645.69214713</v>
      </c>
      <c r="AB53" t="n">
        <v>171526585.635138</v>
      </c>
      <c r="AC53" t="n">
        <v>16321365.863934</v>
      </c>
      <c r="AD53" t="n">
        <v>10016355.971266</v>
      </c>
      <c r="AE53" t="n">
        <v>12429316.8377652</v>
      </c>
      <c r="AF53" t="n">
        <v>35927539.1452397</v>
      </c>
      <c r="AG53" t="n">
        <v>8734799.46046615</v>
      </c>
      <c r="AH53" t="n">
        <v>36910465.9810431</v>
      </c>
      <c r="AI53" t="n">
        <v>2782583.97221521</v>
      </c>
      <c r="AJ53" t="n">
        <v>8591669.28104518</v>
      </c>
      <c r="AK53" t="n">
        <v>18820916.085199</v>
      </c>
      <c r="AL53" t="n">
        <v>5735507.39957206</v>
      </c>
      <c r="AM53" t="n">
        <v>5897152.15569856</v>
      </c>
      <c r="AN53" t="n">
        <v>790035.707415115</v>
      </c>
      <c r="AO53" t="n">
        <v>18808670.6063488</v>
      </c>
      <c r="AP53" t="n">
        <v>1054694.94577481</v>
      </c>
      <c r="AQ53" t="n">
        <v>41632832.8519874</v>
      </c>
      <c r="AR53" t="n">
        <v>6474416.56065266</v>
      </c>
      <c r="AS53" t="n">
        <v>367447626.893382</v>
      </c>
      <c r="AT53" t="n">
        <v>175567759.574704</v>
      </c>
      <c r="AU53" t="n">
        <v>3239029.74763286</v>
      </c>
      <c r="AV53" t="n">
        <v>24637457.5403017</v>
      </c>
      <c r="AW53" t="n">
        <v>558797006.192645</v>
      </c>
      <c r="AX53" t="n">
        <v>121869675.354251</v>
      </c>
      <c r="AY53" t="n">
        <v>16877786.9653606</v>
      </c>
      <c r="AZ53" t="n">
        <v>6617303.13510437</v>
      </c>
      <c r="BA53" t="n">
        <v>11956544.2673398</v>
      </c>
      <c r="BB53" t="n">
        <v>51514849.4718782</v>
      </c>
      <c r="BC53" t="n">
        <v>222022786.398468</v>
      </c>
      <c r="BD53" t="n">
        <v>22594461.089902</v>
      </c>
      <c r="BE53" t="n">
        <v>3731559.90816809</v>
      </c>
      <c r="BF53" t="n">
        <v>6460516.32692307</v>
      </c>
      <c r="BG53" t="n">
        <v>27389048.2614941</v>
      </c>
      <c r="BH53" t="n">
        <v>32021675.6261436</v>
      </c>
      <c r="BI53" t="n">
        <v>7643958.98953106</v>
      </c>
      <c r="BJ53" t="n">
        <v>6107089.86471368</v>
      </c>
      <c r="BK53" t="n">
        <v>3212899.34554773</v>
      </c>
      <c r="BL53" t="n">
        <v>6594159.82428286</v>
      </c>
      <c r="BM53" t="n">
        <v>15151533.723812</v>
      </c>
      <c r="BN53" t="n">
        <v>26126178.8867812</v>
      </c>
      <c r="BO53" t="n">
        <v>40459546.9924225</v>
      </c>
      <c r="BP53" t="n">
        <v>0</v>
      </c>
      <c r="BQ53" t="n">
        <v>10044477.2652384</v>
      </c>
      <c r="BR53" t="n">
        <v>2642767.53750065</v>
      </c>
      <c r="BS53" t="n">
        <v>91727643.7219643</v>
      </c>
      <c r="BT53" t="n">
        <v>8382292.84705858</v>
      </c>
      <c r="BU53" t="n">
        <v>1251307726.9409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1347651818.31148</v>
      </c>
      <c r="CB53" t="n">
        <v>-134232402.905582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5149008.40632703</v>
      </c>
      <c r="C54" t="n">
        <v>45154.4456367089</v>
      </c>
      <c r="D54" t="n">
        <v>205173.154595668</v>
      </c>
      <c r="E54" t="n">
        <v>39504849.327571</v>
      </c>
      <c r="F54" t="n">
        <v>873882.956193489</v>
      </c>
      <c r="G54" t="n">
        <v>6736846.48613741</v>
      </c>
      <c r="H54" t="n">
        <v>15171379.6506589</v>
      </c>
      <c r="I54" t="n">
        <v>575161.063366208</v>
      </c>
      <c r="J54" t="n">
        <v>794606.549015195</v>
      </c>
      <c r="K54" t="n">
        <v>11535606.8187443</v>
      </c>
      <c r="L54" t="n">
        <v>37319212.5594159</v>
      </c>
      <c r="M54" t="n">
        <v>32703392.5310048</v>
      </c>
      <c r="N54" t="n">
        <v>2841907.17664688</v>
      </c>
      <c r="O54" t="n">
        <v>4302794.26262053</v>
      </c>
      <c r="P54" t="n">
        <v>6726144.32168464</v>
      </c>
      <c r="Q54" t="n">
        <v>2273448.6421768</v>
      </c>
      <c r="R54" t="n">
        <v>9918675.39958829</v>
      </c>
      <c r="S54" t="n">
        <v>28736343.9485809</v>
      </c>
      <c r="T54" t="n">
        <v>1479310.72596012</v>
      </c>
      <c r="U54" t="n">
        <v>32817.4303763566</v>
      </c>
      <c r="V54" t="n">
        <v>9621.01321789075</v>
      </c>
      <c r="W54" t="n">
        <v>328684.027392338</v>
      </c>
      <c r="X54" t="n">
        <v>929230.078999244</v>
      </c>
      <c r="Y54" t="n">
        <v>450484.999062252</v>
      </c>
      <c r="Z54" t="n">
        <v>129364.930325214</v>
      </c>
      <c r="AA54" t="n">
        <v>971670.494877186</v>
      </c>
      <c r="AB54" t="n">
        <v>40309286.3485434</v>
      </c>
      <c r="AC54" t="n">
        <v>970213.586973662</v>
      </c>
      <c r="AD54" t="n">
        <v>2980561.2001976</v>
      </c>
      <c r="AE54" t="n">
        <v>8196815.14288913</v>
      </c>
      <c r="AF54" t="n">
        <v>6002819.67477323</v>
      </c>
      <c r="AG54" t="n">
        <v>34186086.6398967</v>
      </c>
      <c r="AH54" t="n">
        <v>7449560.46905019</v>
      </c>
      <c r="AI54" t="n">
        <v>10365403.4739655</v>
      </c>
      <c r="AJ54" t="n">
        <v>5218340.23827684</v>
      </c>
      <c r="AK54" t="n">
        <v>27050910.1754861</v>
      </c>
      <c r="AL54" t="n">
        <v>891517.556200966</v>
      </c>
      <c r="AM54" t="n">
        <v>13050382.9420049</v>
      </c>
      <c r="AN54" t="n">
        <v>159321.054342758</v>
      </c>
      <c r="AO54" t="n">
        <v>3255826.4887354</v>
      </c>
      <c r="AP54" t="n">
        <v>1489309.71838946</v>
      </c>
      <c r="AQ54" t="n">
        <v>1211708.16027818</v>
      </c>
      <c r="AR54" t="n">
        <v>658355.730032846</v>
      </c>
      <c r="AS54" t="n">
        <v>630921806.619916</v>
      </c>
      <c r="AT54" t="n">
        <v>355948674.422363</v>
      </c>
      <c r="AU54" t="n">
        <v>40176612.1335415</v>
      </c>
      <c r="AV54" t="n">
        <v>2212497064.7448</v>
      </c>
      <c r="AW54" t="n">
        <v>28609.5343233003</v>
      </c>
      <c r="AX54" t="n">
        <v>45544537.1412818</v>
      </c>
      <c r="AY54" t="n">
        <v>9809258.23174541</v>
      </c>
      <c r="AZ54" t="n">
        <v>4517326.01733184</v>
      </c>
      <c r="BA54" t="n">
        <v>5210439.91978972</v>
      </c>
      <c r="BB54" t="n">
        <v>24647338.0240687</v>
      </c>
      <c r="BC54" t="n">
        <v>212061261.239548</v>
      </c>
      <c r="BD54" t="n">
        <v>11113137.0466504</v>
      </c>
      <c r="BE54" t="n">
        <v>390779.290739644</v>
      </c>
      <c r="BF54" t="n">
        <v>10436761.0207143</v>
      </c>
      <c r="BG54" t="n">
        <v>19035637.6716104</v>
      </c>
      <c r="BH54" t="n">
        <v>157491806.625092</v>
      </c>
      <c r="BI54" t="n">
        <v>6687879.42697896</v>
      </c>
      <c r="BJ54" t="n">
        <v>36202924.2657349</v>
      </c>
      <c r="BK54" t="n">
        <v>8279087.24801207</v>
      </c>
      <c r="BL54" t="n">
        <v>778571.748973713</v>
      </c>
      <c r="BM54" t="n">
        <v>36752292.0856759</v>
      </c>
      <c r="BN54" t="n">
        <v>51239852.5674511</v>
      </c>
      <c r="BO54" t="n">
        <v>39418169.9845248</v>
      </c>
      <c r="BP54" t="n">
        <v>0</v>
      </c>
      <c r="BQ54" t="n">
        <v>24757.8105795394</v>
      </c>
      <c r="BR54" t="n">
        <v>96385.8801591056</v>
      </c>
      <c r="BS54" t="n">
        <v>278162507.954053</v>
      </c>
      <c r="BT54" t="n">
        <v>19035002.9890196</v>
      </c>
      <c r="BU54" t="n">
        <v>3098129890.68853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1048188474.22909</v>
      </c>
      <c r="CB54" t="n">
        <v>-1169885.12495453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19850477.1844764</v>
      </c>
      <c r="C55" t="n">
        <v>720135.304903842</v>
      </c>
      <c r="D55" t="n">
        <v>99615.3055907071</v>
      </c>
      <c r="E55" t="n">
        <v>6032431.00379303</v>
      </c>
      <c r="F55" t="n">
        <v>160121.603035227</v>
      </c>
      <c r="G55" t="n">
        <v>6886262.27849956</v>
      </c>
      <c r="H55" t="n">
        <v>1681219.58300136</v>
      </c>
      <c r="I55" t="n">
        <v>1686307.72531674</v>
      </c>
      <c r="J55" t="n">
        <v>4809890.12251881</v>
      </c>
      <c r="K55" t="n">
        <v>1890849.59412091</v>
      </c>
      <c r="L55" t="n">
        <v>6364648.81577436</v>
      </c>
      <c r="M55" t="n">
        <v>10128039.8870911</v>
      </c>
      <c r="N55" t="n">
        <v>2051856.81080532</v>
      </c>
      <c r="O55" t="n">
        <v>3798759.94093799</v>
      </c>
      <c r="P55" t="n">
        <v>4652371.8795876</v>
      </c>
      <c r="Q55" t="n">
        <v>1883311.45666075</v>
      </c>
      <c r="R55" t="n">
        <v>2705549.82355455</v>
      </c>
      <c r="S55" t="n">
        <v>7434911.0065061</v>
      </c>
      <c r="T55" t="n">
        <v>19954171.5216232</v>
      </c>
      <c r="U55" t="n">
        <v>505220.817713756</v>
      </c>
      <c r="V55" t="n">
        <v>191139.066182736</v>
      </c>
      <c r="W55" t="n">
        <v>2193623.36577892</v>
      </c>
      <c r="X55" t="n">
        <v>961060.953714839</v>
      </c>
      <c r="Y55" t="n">
        <v>1648781.2226862</v>
      </c>
      <c r="Z55" t="n">
        <v>4334706.13652107</v>
      </c>
      <c r="AA55" t="n">
        <v>3244962.1808457</v>
      </c>
      <c r="AB55" t="n">
        <v>194104987.296081</v>
      </c>
      <c r="AC55" t="n">
        <v>12760021.102115</v>
      </c>
      <c r="AD55" t="n">
        <v>5512022.56620579</v>
      </c>
      <c r="AE55" t="n">
        <v>6787927.66371607</v>
      </c>
      <c r="AF55" t="n">
        <v>26055507.5162583</v>
      </c>
      <c r="AG55" t="n">
        <v>4817339.34886475</v>
      </c>
      <c r="AH55" t="n">
        <v>236412.702175847</v>
      </c>
      <c r="AI55" t="n">
        <v>2953129.51865961</v>
      </c>
      <c r="AJ55" t="n">
        <v>56444676.5113633</v>
      </c>
      <c r="AK55" t="n">
        <v>34575992.1785577</v>
      </c>
      <c r="AL55" t="n">
        <v>812408.014496282</v>
      </c>
      <c r="AM55" t="n">
        <v>10674156.1722476</v>
      </c>
      <c r="AN55" t="n">
        <v>5472055.17598398</v>
      </c>
      <c r="AO55" t="n">
        <v>1790776.03198134</v>
      </c>
      <c r="AP55" t="n">
        <v>1481828.12992261</v>
      </c>
      <c r="AQ55" t="n">
        <v>4360396.38756424</v>
      </c>
      <c r="AR55" t="n">
        <v>2031180.35308958</v>
      </c>
      <c r="AS55" t="n">
        <v>20358666.6685098</v>
      </c>
      <c r="AT55" t="n">
        <v>34043160.8174343</v>
      </c>
      <c r="AU55" t="n">
        <v>2403184377.38285</v>
      </c>
      <c r="AV55" t="n">
        <v>96937565.5671421</v>
      </c>
      <c r="AW55" t="n">
        <v>22545773.7324681</v>
      </c>
      <c r="AX55" t="n">
        <v>103207542.539587</v>
      </c>
      <c r="AY55" t="n">
        <v>12543505.0627924</v>
      </c>
      <c r="AZ55" t="n">
        <v>9132756.21544052</v>
      </c>
      <c r="BA55" t="n">
        <v>8305576.53698733</v>
      </c>
      <c r="BB55" t="n">
        <v>42488589.7821072</v>
      </c>
      <c r="BC55" t="n">
        <v>2556440.25642138</v>
      </c>
      <c r="BD55" t="n">
        <v>24727438.6695416</v>
      </c>
      <c r="BE55" t="n">
        <v>4940312.52697449</v>
      </c>
      <c r="BF55" t="n">
        <v>6972338.53501349</v>
      </c>
      <c r="BG55" t="n">
        <v>54500829.1215312</v>
      </c>
      <c r="BH55" t="n">
        <v>72266906.1919018</v>
      </c>
      <c r="BI55" t="n">
        <v>20652877.4845259</v>
      </c>
      <c r="BJ55" t="n">
        <v>54527133.8468473</v>
      </c>
      <c r="BK55" t="n">
        <v>7328868.97628428</v>
      </c>
      <c r="BL55" t="n">
        <v>5227969.92871588</v>
      </c>
      <c r="BM55" t="n">
        <v>3781823.86047999</v>
      </c>
      <c r="BN55" t="n">
        <v>23920001.3850983</v>
      </c>
      <c r="BO55" t="n">
        <v>12621600.8429497</v>
      </c>
      <c r="BP55" t="n">
        <v>0</v>
      </c>
      <c r="BQ55" t="n">
        <v>1788954.27579874</v>
      </c>
      <c r="BR55" t="n">
        <v>6190261.3587222</v>
      </c>
      <c r="BS55" t="n">
        <v>14331936.7201588</v>
      </c>
      <c r="BT55" t="n">
        <v>24546261.0007285</v>
      </c>
      <c r="BU55" t="n">
        <v>1492410168.40766</v>
      </c>
      <c r="BV55" t="n">
        <v>0</v>
      </c>
      <c r="BW55" t="n">
        <v>0</v>
      </c>
      <c r="BX55" t="n">
        <v>0</v>
      </c>
      <c r="BY55" t="n">
        <v>18899558.1122385</v>
      </c>
      <c r="BZ55" t="n">
        <v>0</v>
      </c>
      <c r="CA55" t="n">
        <v>450332663.255803</v>
      </c>
      <c r="CB55" t="n">
        <v>-1165710823.75923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70614511.9069216</v>
      </c>
      <c r="AV56" t="n">
        <v>268859312.063671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2417269.08734042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471470.946132916</v>
      </c>
      <c r="BR56" t="n">
        <v>0</v>
      </c>
      <c r="BS56" t="n">
        <v>17031477.6693918</v>
      </c>
      <c r="BT56" t="n">
        <v>0</v>
      </c>
      <c r="BU56" t="n">
        <v>2672075826.64748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38852381257.4073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99906425.8259612</v>
      </c>
      <c r="C58" t="n">
        <v>147897.078451377</v>
      </c>
      <c r="D58" t="n">
        <v>280468.072158318</v>
      </c>
      <c r="E58" t="n">
        <v>7500847.78204153</v>
      </c>
      <c r="F58" t="n">
        <v>185686.82407878</v>
      </c>
      <c r="G58" t="n">
        <v>145626256.650021</v>
      </c>
      <c r="H58" t="n">
        <v>315380301.565965</v>
      </c>
      <c r="I58" t="n">
        <v>25492969.259387</v>
      </c>
      <c r="J58" t="n">
        <v>22354730.9315094</v>
      </c>
      <c r="K58" t="n">
        <v>5609869.2224168</v>
      </c>
      <c r="L58" t="n">
        <v>148577968.11811</v>
      </c>
      <c r="M58" t="n">
        <v>62968920.9174603</v>
      </c>
      <c r="N58" t="n">
        <v>97995542.5275205</v>
      </c>
      <c r="O58" t="n">
        <v>14272732.7212249</v>
      </c>
      <c r="P58" t="n">
        <v>10571861.7663076</v>
      </c>
      <c r="Q58" t="n">
        <v>8767915.0964926</v>
      </c>
      <c r="R58" t="n">
        <v>34966956.2839142</v>
      </c>
      <c r="S58" t="n">
        <v>97596253.9052988</v>
      </c>
      <c r="T58" t="n">
        <v>109556871.847397</v>
      </c>
      <c r="U58" t="n">
        <v>4522802.534141</v>
      </c>
      <c r="V58" t="n">
        <v>2196163.84185296</v>
      </c>
      <c r="W58" t="n">
        <v>40455939.4731925</v>
      </c>
      <c r="X58" t="n">
        <v>106875896.130712</v>
      </c>
      <c r="Y58" t="n">
        <v>3291501.51719437</v>
      </c>
      <c r="Z58" t="n">
        <v>37124106.5934326</v>
      </c>
      <c r="AA58" t="n">
        <v>58258633.7426271</v>
      </c>
      <c r="AB58" t="n">
        <v>1987369113.31965</v>
      </c>
      <c r="AC58" t="n">
        <v>353361716.329628</v>
      </c>
      <c r="AD58" t="n">
        <v>501048419.524569</v>
      </c>
      <c r="AE58" t="n">
        <v>390902514.584772</v>
      </c>
      <c r="AF58" t="n">
        <v>1671598807.3473</v>
      </c>
      <c r="AG58" t="n">
        <v>9782136.79487239</v>
      </c>
      <c r="AH58" t="n">
        <v>5947412.63586368</v>
      </c>
      <c r="AI58" t="n">
        <v>16438043.688382</v>
      </c>
      <c r="AJ58" t="n">
        <v>156357995.542164</v>
      </c>
      <c r="AK58" t="n">
        <v>51347719.7438163</v>
      </c>
      <c r="AL58" t="n">
        <v>3505446.04076178</v>
      </c>
      <c r="AM58" t="n">
        <v>97439120.0794373</v>
      </c>
      <c r="AN58" t="n">
        <v>97993068.0114488</v>
      </c>
      <c r="AO58" t="n">
        <v>138679274.552566</v>
      </c>
      <c r="AP58" t="n">
        <v>13712960.6414818</v>
      </c>
      <c r="AQ58" t="n">
        <v>303216370.030843</v>
      </c>
      <c r="AR58" t="n">
        <v>99468215.1653356</v>
      </c>
      <c r="AS58" t="n">
        <v>509034740.686593</v>
      </c>
      <c r="AT58" t="n">
        <v>414087544.35007</v>
      </c>
      <c r="AU58" t="n">
        <v>522639059.735792</v>
      </c>
      <c r="AV58" t="n">
        <v>28814017.0940171</v>
      </c>
      <c r="AW58" t="n">
        <v>110869244.722153</v>
      </c>
      <c r="AX58" t="n">
        <v>1986636207.67892</v>
      </c>
      <c r="AY58" t="n">
        <v>68447193.9902784</v>
      </c>
      <c r="AZ58" t="n">
        <v>303130577.202119</v>
      </c>
      <c r="BA58" t="n">
        <v>142312284.28397</v>
      </c>
      <c r="BB58" t="n">
        <v>1015309938.18161</v>
      </c>
      <c r="BC58" t="n">
        <v>1458695507.93674</v>
      </c>
      <c r="BD58" t="n">
        <v>589414651.288344</v>
      </c>
      <c r="BE58" t="n">
        <v>52838671.4744264</v>
      </c>
      <c r="BF58" t="n">
        <v>526503810.506921</v>
      </c>
      <c r="BG58" t="n">
        <v>1136256971.41741</v>
      </c>
      <c r="BH58" t="n">
        <v>1749116945.2847</v>
      </c>
      <c r="BI58" t="n">
        <v>878991185.816604</v>
      </c>
      <c r="BJ58" t="n">
        <v>310361632.08626</v>
      </c>
      <c r="BK58" t="n">
        <v>210834288.195062</v>
      </c>
      <c r="BL58" t="n">
        <v>309047704.617678</v>
      </c>
      <c r="BM58" t="n">
        <v>34889142.5169736</v>
      </c>
      <c r="BN58" t="n">
        <v>862236922.408412</v>
      </c>
      <c r="BO58" t="n">
        <v>1131009937.97398</v>
      </c>
      <c r="BP58" t="n">
        <v>1313205.42338194</v>
      </c>
      <c r="BQ58" t="n">
        <v>118408089.085626</v>
      </c>
      <c r="BR58" t="n">
        <v>5374016.74502722</v>
      </c>
      <c r="BS58" t="n">
        <v>442891178.761916</v>
      </c>
      <c r="BT58" t="n">
        <v>26510581.4401043</v>
      </c>
      <c r="BU58" t="n">
        <v>112855299.907619</v>
      </c>
      <c r="BV58" t="n">
        <v>366512519.536919</v>
      </c>
      <c r="BW58" t="n">
        <v>0</v>
      </c>
      <c r="BX58" t="n">
        <v>0</v>
      </c>
      <c r="BY58" t="n">
        <v>2395403886.72018</v>
      </c>
      <c r="BZ58" t="n">
        <v>0</v>
      </c>
      <c r="CA58" t="n">
        <v>32614255.7508119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21230443.5715841</v>
      </c>
      <c r="C59" t="n">
        <v>201285.777852892</v>
      </c>
      <c r="D59" t="n">
        <v>210662.35037239</v>
      </c>
      <c r="E59" t="n">
        <v>31737724.4380321</v>
      </c>
      <c r="F59" t="n">
        <v>326629.499229647</v>
      </c>
      <c r="G59" t="n">
        <v>12992130.2882464</v>
      </c>
      <c r="H59" t="n">
        <v>161678083.751709</v>
      </c>
      <c r="I59" t="n">
        <v>2725065.52174239</v>
      </c>
      <c r="J59" t="n">
        <v>4714980.51093399</v>
      </c>
      <c r="K59" t="n">
        <v>2394919.79184288</v>
      </c>
      <c r="L59" t="n">
        <v>16347097.9760404</v>
      </c>
      <c r="M59" t="n">
        <v>13788425.624595</v>
      </c>
      <c r="N59" t="n">
        <v>5399600.42309876</v>
      </c>
      <c r="O59" t="n">
        <v>2473936.40496882</v>
      </c>
      <c r="P59" t="n">
        <v>10115587.3712333</v>
      </c>
      <c r="Q59" t="n">
        <v>1866488.26738698</v>
      </c>
      <c r="R59" t="n">
        <v>2213171.5702583</v>
      </c>
      <c r="S59" t="n">
        <v>13004115.7033731</v>
      </c>
      <c r="T59" t="n">
        <v>22265835.3514324</v>
      </c>
      <c r="U59" t="n">
        <v>198537.57513886</v>
      </c>
      <c r="V59" t="n">
        <v>8059835.89265252</v>
      </c>
      <c r="W59" t="n">
        <v>7014690.07881552</v>
      </c>
      <c r="X59" t="n">
        <v>7933139.81970603</v>
      </c>
      <c r="Y59" t="n">
        <v>6777455.68170281</v>
      </c>
      <c r="Z59" t="n">
        <v>9213885.57286745</v>
      </c>
      <c r="AA59" t="n">
        <v>5987312.67964194</v>
      </c>
      <c r="AB59" t="n">
        <v>161857227.05594</v>
      </c>
      <c r="AC59" t="n">
        <v>4486935.2370545</v>
      </c>
      <c r="AD59" t="n">
        <v>6150712.8635713</v>
      </c>
      <c r="AE59" t="n">
        <v>18915231.5734599</v>
      </c>
      <c r="AF59" t="n">
        <v>29331845.232281</v>
      </c>
      <c r="AG59" t="n">
        <v>108806315.022632</v>
      </c>
      <c r="AH59" t="n">
        <v>57658805.4074904</v>
      </c>
      <c r="AI59" t="n">
        <v>41978590.3666439</v>
      </c>
      <c r="AJ59" t="n">
        <v>154557769.456655</v>
      </c>
      <c r="AK59" t="n">
        <v>8831276.63449695</v>
      </c>
      <c r="AL59" t="n">
        <v>183116.079744296</v>
      </c>
      <c r="AM59" t="n">
        <v>11066258.1834528</v>
      </c>
      <c r="AN59" t="n">
        <v>15546283.3728085</v>
      </c>
      <c r="AO59" t="n">
        <v>9190302.75493065</v>
      </c>
      <c r="AP59" t="n">
        <v>1479504.13580412</v>
      </c>
      <c r="AQ59" t="n">
        <v>29666055.2061311</v>
      </c>
      <c r="AR59" t="n">
        <v>23580410.1515444</v>
      </c>
      <c r="AS59" t="n">
        <v>24495536.4313145</v>
      </c>
      <c r="AT59" t="n">
        <v>28034270.9933191</v>
      </c>
      <c r="AU59" t="n">
        <v>24868639.5292145</v>
      </c>
      <c r="AV59" t="n">
        <v>335925.783754967</v>
      </c>
      <c r="AW59" t="n">
        <v>33320334.1179632</v>
      </c>
      <c r="AX59" t="n">
        <v>9453534.34271798</v>
      </c>
      <c r="AY59" t="n">
        <v>20018186.5372743</v>
      </c>
      <c r="AZ59" t="n">
        <v>8732867.37684302</v>
      </c>
      <c r="BA59" t="n">
        <v>15130313.1160076</v>
      </c>
      <c r="BB59" t="n">
        <v>83566182.7558188</v>
      </c>
      <c r="BC59" t="n">
        <v>203186898.814725</v>
      </c>
      <c r="BD59" t="n">
        <v>43205195.9715979</v>
      </c>
      <c r="BE59" t="n">
        <v>13059694.1419882</v>
      </c>
      <c r="BF59" t="n">
        <v>7363588.99005665</v>
      </c>
      <c r="BG59" t="n">
        <v>27455015.5580286</v>
      </c>
      <c r="BH59" t="n">
        <v>28138353.006739</v>
      </c>
      <c r="BI59" t="n">
        <v>5011108.96069328</v>
      </c>
      <c r="BJ59" t="n">
        <v>3556736.35646276</v>
      </c>
      <c r="BK59" t="n">
        <v>9336969.748447</v>
      </c>
      <c r="BL59" t="n">
        <v>11801525.5512342</v>
      </c>
      <c r="BM59" t="n">
        <v>7547432.06432718</v>
      </c>
      <c r="BN59" t="n">
        <v>46976985.5016225</v>
      </c>
      <c r="BO59" t="n">
        <v>15533102.833304</v>
      </c>
      <c r="BP59" t="n">
        <v>559897.14427506</v>
      </c>
      <c r="BQ59" t="n">
        <v>943015.272616534</v>
      </c>
      <c r="BR59" t="n">
        <v>547005.463925309</v>
      </c>
      <c r="BS59" t="n">
        <v>52054187.3808375</v>
      </c>
      <c r="BT59" t="n">
        <v>2118510.83541769</v>
      </c>
      <c r="BU59" t="n">
        <v>647139595.852901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743678564.864723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7282435.91047247</v>
      </c>
      <c r="C60" t="n">
        <v>350565.671324164</v>
      </c>
      <c r="D60" t="n">
        <v>92387.0187793081</v>
      </c>
      <c r="E60" t="n">
        <v>12877392.3333305</v>
      </c>
      <c r="F60" t="n">
        <v>56974.6339137346</v>
      </c>
      <c r="G60" t="n">
        <v>78320981.020268</v>
      </c>
      <c r="H60" t="n">
        <v>77478796.3475215</v>
      </c>
      <c r="I60" t="n">
        <v>9529145.86238241</v>
      </c>
      <c r="J60" t="n">
        <v>6495840.18878322</v>
      </c>
      <c r="K60" t="n">
        <v>3667346.58485344</v>
      </c>
      <c r="L60" t="n">
        <v>35696978.9289906</v>
      </c>
      <c r="M60" t="n">
        <v>30294068.2014884</v>
      </c>
      <c r="N60" t="n">
        <v>63719023.5890712</v>
      </c>
      <c r="O60" t="n">
        <v>3788512.6666497</v>
      </c>
      <c r="P60" t="n">
        <v>9348948.9737257</v>
      </c>
      <c r="Q60" t="n">
        <v>5469985.69432097</v>
      </c>
      <c r="R60" t="n">
        <v>5428097.35587178</v>
      </c>
      <c r="S60" t="n">
        <v>60791863.4496887</v>
      </c>
      <c r="T60" t="n">
        <v>18363444.9681449</v>
      </c>
      <c r="U60" t="n">
        <v>805389.172993982</v>
      </c>
      <c r="V60" t="n">
        <v>746886.820372726</v>
      </c>
      <c r="W60" t="n">
        <v>13152253.1673933</v>
      </c>
      <c r="X60" t="n">
        <v>12410596.1249761</v>
      </c>
      <c r="Y60" t="n">
        <v>9238049.84496895</v>
      </c>
      <c r="Z60" t="n">
        <v>22871711.5572223</v>
      </c>
      <c r="AA60" t="n">
        <v>14853393.2753171</v>
      </c>
      <c r="AB60" t="n">
        <v>263028042.973271</v>
      </c>
      <c r="AC60" t="n">
        <v>7567262.77497375</v>
      </c>
      <c r="AD60" t="n">
        <v>8937858.90359042</v>
      </c>
      <c r="AE60" t="n">
        <v>9693022.80829507</v>
      </c>
      <c r="AF60" t="n">
        <v>49388416.8829046</v>
      </c>
      <c r="AG60" t="n">
        <v>7970817.39265279</v>
      </c>
      <c r="AH60" t="n">
        <v>19830753.7411461</v>
      </c>
      <c r="AI60" t="n">
        <v>2788654.42159929</v>
      </c>
      <c r="AJ60" t="n">
        <v>3278831.73072722</v>
      </c>
      <c r="AK60" t="n">
        <v>3249818.27003869</v>
      </c>
      <c r="AL60" t="n">
        <v>511271.426752975</v>
      </c>
      <c r="AM60" t="n">
        <v>6146672.53319721</v>
      </c>
      <c r="AN60" t="n">
        <v>2418037.21660748</v>
      </c>
      <c r="AO60" t="n">
        <v>51618163.004483</v>
      </c>
      <c r="AP60" t="n">
        <v>2754282.01774308</v>
      </c>
      <c r="AQ60" t="n">
        <v>25292853.0696415</v>
      </c>
      <c r="AR60" t="n">
        <v>34851634.7206195</v>
      </c>
      <c r="AS60" t="n">
        <v>73224005.7509664</v>
      </c>
      <c r="AT60" t="n">
        <v>110640105.486153</v>
      </c>
      <c r="AU60" t="n">
        <v>210747815.793834</v>
      </c>
      <c r="AV60" t="n">
        <v>58206626.7908637</v>
      </c>
      <c r="AW60" t="n">
        <v>21744306.8690905</v>
      </c>
      <c r="AX60" t="n">
        <v>87260181.7138488</v>
      </c>
      <c r="AY60" t="n">
        <v>3962228.94285947</v>
      </c>
      <c r="AZ60" t="n">
        <v>26130870.5868116</v>
      </c>
      <c r="BA60" t="n">
        <v>45657284.4633169</v>
      </c>
      <c r="BB60" t="n">
        <v>167706669.214576</v>
      </c>
      <c r="BC60" t="n">
        <v>281998412.247804</v>
      </c>
      <c r="BD60" t="n">
        <v>83540023.1424947</v>
      </c>
      <c r="BE60" t="n">
        <v>5523579.4375971</v>
      </c>
      <c r="BF60" t="n">
        <v>4413872.39317746</v>
      </c>
      <c r="BG60" t="n">
        <v>71181494.1090619</v>
      </c>
      <c r="BH60" t="n">
        <v>271734064.290546</v>
      </c>
      <c r="BI60" t="n">
        <v>33894870.5008873</v>
      </c>
      <c r="BJ60" t="n">
        <v>13627430.0347761</v>
      </c>
      <c r="BK60" t="n">
        <v>21735048.9636939</v>
      </c>
      <c r="BL60" t="n">
        <v>21123846.694869</v>
      </c>
      <c r="BM60" t="n">
        <v>10097538.0561329</v>
      </c>
      <c r="BN60" t="n">
        <v>23247571.2518962</v>
      </c>
      <c r="BO60" t="n">
        <v>56371272.4472723</v>
      </c>
      <c r="BP60" t="n">
        <v>0</v>
      </c>
      <c r="BQ60" t="n">
        <v>768810.479781086</v>
      </c>
      <c r="BR60" t="n">
        <v>491255.516996002</v>
      </c>
      <c r="BS60" t="n">
        <v>176468071.178459</v>
      </c>
      <c r="BT60" t="n">
        <v>9739185.68099823</v>
      </c>
      <c r="BU60" t="n">
        <v>1446976472.12321</v>
      </c>
      <c r="BV60" t="n">
        <v>0</v>
      </c>
      <c r="BW60" t="n">
        <v>0</v>
      </c>
      <c r="BX60" t="n">
        <v>0</v>
      </c>
      <c r="BY60" t="n">
        <v>304593078.83207</v>
      </c>
      <c r="BZ60" t="n">
        <v>0</v>
      </c>
      <c r="CA60" t="n">
        <v>237062082.355325</v>
      </c>
      <c r="CB60" t="n">
        <v>-91815357.4993735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10714279.2556373</v>
      </c>
      <c r="C61" t="n">
        <v>139387.074566099</v>
      </c>
      <c r="D61" t="n">
        <v>437979.806376269</v>
      </c>
      <c r="E61" t="n">
        <v>16507887.1294565</v>
      </c>
      <c r="F61" t="n">
        <v>19823.5289786109</v>
      </c>
      <c r="G61" t="n">
        <v>33068027.2388534</v>
      </c>
      <c r="H61" t="n">
        <v>79772765.7028197</v>
      </c>
      <c r="I61" t="n">
        <v>8375631.16993877</v>
      </c>
      <c r="J61" t="n">
        <v>6334283.52969547</v>
      </c>
      <c r="K61" t="n">
        <v>3259280.14590433</v>
      </c>
      <c r="L61" t="n">
        <v>37648790.8147222</v>
      </c>
      <c r="M61" t="n">
        <v>49798918.8145317</v>
      </c>
      <c r="N61" t="n">
        <v>11620795.8695368</v>
      </c>
      <c r="O61" t="n">
        <v>1963815.83977514</v>
      </c>
      <c r="P61" t="n">
        <v>3224483.92564608</v>
      </c>
      <c r="Q61" t="n">
        <v>12082305.7917231</v>
      </c>
      <c r="R61" t="n">
        <v>5651098.92315299</v>
      </c>
      <c r="S61" t="n">
        <v>22306610.1380523</v>
      </c>
      <c r="T61" t="n">
        <v>22798306.6677163</v>
      </c>
      <c r="U61" t="n">
        <v>641050.959318287</v>
      </c>
      <c r="V61" t="n">
        <v>119747.875120313</v>
      </c>
      <c r="W61" t="n">
        <v>6854597.20951751</v>
      </c>
      <c r="X61" t="n">
        <v>18738920.3072547</v>
      </c>
      <c r="Y61" t="n">
        <v>10353835.6325763</v>
      </c>
      <c r="Z61" t="n">
        <v>2533544.89351265</v>
      </c>
      <c r="AA61" t="n">
        <v>9760982.41629721</v>
      </c>
      <c r="AB61" t="n">
        <v>357591802.372415</v>
      </c>
      <c r="AC61" t="n">
        <v>58934500.6140901</v>
      </c>
      <c r="AD61" t="n">
        <v>13513241.3218933</v>
      </c>
      <c r="AE61" t="n">
        <v>28678682.3257093</v>
      </c>
      <c r="AF61" t="n">
        <v>73782430.7214487</v>
      </c>
      <c r="AG61" t="n">
        <v>9973045.693708</v>
      </c>
      <c r="AH61" t="n">
        <v>30316720.1212213</v>
      </c>
      <c r="AI61" t="n">
        <v>1117427.34291461</v>
      </c>
      <c r="AJ61" t="n">
        <v>12090193.7349246</v>
      </c>
      <c r="AK61" t="n">
        <v>5371029.3437104</v>
      </c>
      <c r="AL61" t="n">
        <v>113616.558848733</v>
      </c>
      <c r="AM61" t="n">
        <v>2864690.67272518</v>
      </c>
      <c r="AN61" t="n">
        <v>2864433.80464454</v>
      </c>
      <c r="AO61" t="n">
        <v>103707093.061161</v>
      </c>
      <c r="AP61" t="n">
        <v>2178928.87310385</v>
      </c>
      <c r="AQ61" t="n">
        <v>36472450.0322384</v>
      </c>
      <c r="AR61" t="n">
        <v>82457886.5419451</v>
      </c>
      <c r="AS61" t="n">
        <v>125272141.639239</v>
      </c>
      <c r="AT61" t="n">
        <v>98407907.7579012</v>
      </c>
      <c r="AU61" t="n">
        <v>133193102.617364</v>
      </c>
      <c r="AV61" t="n">
        <v>41178964.4715609</v>
      </c>
      <c r="AW61" t="n">
        <v>11561744.0000218</v>
      </c>
      <c r="AX61" t="n">
        <v>33899268.0177193</v>
      </c>
      <c r="AY61" t="n">
        <v>3312246.88833239</v>
      </c>
      <c r="AZ61" t="n">
        <v>47327716.7967229</v>
      </c>
      <c r="BA61" t="n">
        <v>94325229.0375002</v>
      </c>
      <c r="BB61" t="n">
        <v>146001475.917286</v>
      </c>
      <c r="BC61" t="n">
        <v>68099873.6662758</v>
      </c>
      <c r="BD61" t="n">
        <v>198745050.959289</v>
      </c>
      <c r="BE61" t="n">
        <v>7372571.82822654</v>
      </c>
      <c r="BF61" t="n">
        <v>20686831.6511476</v>
      </c>
      <c r="BG61" t="n">
        <v>74708493.6217665</v>
      </c>
      <c r="BH61" t="n">
        <v>91779436.281432</v>
      </c>
      <c r="BI61" t="n">
        <v>26228469.0879531</v>
      </c>
      <c r="BJ61" t="n">
        <v>34598691.3219489</v>
      </c>
      <c r="BK61" t="n">
        <v>5949301.24338308</v>
      </c>
      <c r="BL61" t="n">
        <v>14537744.356016</v>
      </c>
      <c r="BM61" t="n">
        <v>10286336.4202851</v>
      </c>
      <c r="BN61" t="n">
        <v>62746022.6670606</v>
      </c>
      <c r="BO61" t="n">
        <v>49255996.9558786</v>
      </c>
      <c r="BP61" t="n">
        <v>19934942.1553757</v>
      </c>
      <c r="BQ61" t="n">
        <v>89122922.2448117</v>
      </c>
      <c r="BR61" t="n">
        <v>943263.909538861</v>
      </c>
      <c r="BS61" t="n">
        <v>526704056.000681</v>
      </c>
      <c r="BT61" t="n">
        <v>45882130.2540268</v>
      </c>
      <c r="BU61" t="n">
        <v>0</v>
      </c>
      <c r="BV61" t="n">
        <v>0</v>
      </c>
      <c r="BW61" t="n">
        <v>585718875.109327</v>
      </c>
      <c r="BX61" t="n">
        <v>3255654037.26719</v>
      </c>
      <c r="BY61" t="n">
        <v>0</v>
      </c>
      <c r="BZ61" t="n">
        <v>0</v>
      </c>
      <c r="CA61" t="n">
        <v>626391172.832249</v>
      </c>
      <c r="CB61" t="n">
        <v>-536581082.945946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15014634.6687691</v>
      </c>
      <c r="CK61" t="n">
        <v>0</v>
      </c>
      <c r="CL61" t="n">
        <v>0</v>
      </c>
      <c r="CM61" t="n">
        <v>21359896.3647586</v>
      </c>
      <c r="CN61" t="n">
        <v>141795455.988085</v>
      </c>
    </row>
    <row r="62">
      <c r="A62" t="s">
        <v>173</v>
      </c>
      <c r="B62" t="n">
        <v>12119459.4870265</v>
      </c>
      <c r="C62" t="n">
        <v>559703.679917055</v>
      </c>
      <c r="D62" t="n">
        <v>103322.392911472</v>
      </c>
      <c r="E62" t="n">
        <v>13680903.2719557</v>
      </c>
      <c r="F62" t="n">
        <v>91319.4816078247</v>
      </c>
      <c r="G62" t="n">
        <v>54907035.373534</v>
      </c>
      <c r="H62" t="n">
        <v>198514698.214138</v>
      </c>
      <c r="I62" t="n">
        <v>12274517.6873277</v>
      </c>
      <c r="J62" t="n">
        <v>10623834.0891974</v>
      </c>
      <c r="K62" t="n">
        <v>6615658.04148357</v>
      </c>
      <c r="L62" t="n">
        <v>33028147.3069811</v>
      </c>
      <c r="M62" t="n">
        <v>32806071.7005138</v>
      </c>
      <c r="N62" t="n">
        <v>45449304.7397724</v>
      </c>
      <c r="O62" t="n">
        <v>7493221.02418122</v>
      </c>
      <c r="P62" t="n">
        <v>8101105.38159382</v>
      </c>
      <c r="Q62" t="n">
        <v>6211823.46119302</v>
      </c>
      <c r="R62" t="n">
        <v>11746256.5047991</v>
      </c>
      <c r="S62" t="n">
        <v>54621131.4182635</v>
      </c>
      <c r="T62" t="n">
        <v>57345058.4325139</v>
      </c>
      <c r="U62" t="n">
        <v>1281238.79242574</v>
      </c>
      <c r="V62" t="n">
        <v>554590.74607892</v>
      </c>
      <c r="W62" t="n">
        <v>14591624.1904566</v>
      </c>
      <c r="X62" t="n">
        <v>19040913.7700105</v>
      </c>
      <c r="Y62" t="n">
        <v>12920400.0199391</v>
      </c>
      <c r="Z62" t="n">
        <v>21825058.8102575</v>
      </c>
      <c r="AA62" t="n">
        <v>19330182.8536426</v>
      </c>
      <c r="AB62" t="n">
        <v>683264805.920821</v>
      </c>
      <c r="AC62" t="n">
        <v>94024778.6390956</v>
      </c>
      <c r="AD62" t="n">
        <v>43134532.2944015</v>
      </c>
      <c r="AE62" t="n">
        <v>24333774.4754651</v>
      </c>
      <c r="AF62" t="n">
        <v>228631968.859622</v>
      </c>
      <c r="AG62" t="n">
        <v>9063343.17635706</v>
      </c>
      <c r="AH62" t="n">
        <v>13609451.0568606</v>
      </c>
      <c r="AI62" t="n">
        <v>9000304.55295787</v>
      </c>
      <c r="AJ62" t="n">
        <v>16230460.0883727</v>
      </c>
      <c r="AK62" t="n">
        <v>9007425.16650381</v>
      </c>
      <c r="AL62" t="n">
        <v>2745783.20816131</v>
      </c>
      <c r="AM62" t="n">
        <v>8219766.34332349</v>
      </c>
      <c r="AN62" t="n">
        <v>6071220.17386314</v>
      </c>
      <c r="AO62" t="n">
        <v>90738529.9183649</v>
      </c>
      <c r="AP62" t="n">
        <v>6109708.45450498</v>
      </c>
      <c r="AQ62" t="n">
        <v>92909099.724857</v>
      </c>
      <c r="AR62" t="n">
        <v>85312925.0469601</v>
      </c>
      <c r="AS62" t="n">
        <v>227939221.173432</v>
      </c>
      <c r="AT62" t="n">
        <v>153269008.062622</v>
      </c>
      <c r="AU62" t="n">
        <v>200098210.43112</v>
      </c>
      <c r="AV62" t="n">
        <v>29424837.3558653</v>
      </c>
      <c r="AW62" t="n">
        <v>9638247.60596773</v>
      </c>
      <c r="AX62" t="n">
        <v>118598467.687923</v>
      </c>
      <c r="AY62" t="n">
        <v>14420973.7006535</v>
      </c>
      <c r="AZ62" t="n">
        <v>33750481.1159484</v>
      </c>
      <c r="BA62" t="n">
        <v>104099283.243641</v>
      </c>
      <c r="BB62" t="n">
        <v>546183390.304829</v>
      </c>
      <c r="BC62" t="n">
        <v>433563963.284785</v>
      </c>
      <c r="BD62" t="n">
        <v>177143013.526504</v>
      </c>
      <c r="BE62" t="n">
        <v>11297125.9870606</v>
      </c>
      <c r="BF62" t="n">
        <v>26013328.8986957</v>
      </c>
      <c r="BG62" t="n">
        <v>146877715.507017</v>
      </c>
      <c r="BH62" t="n">
        <v>225915597.457319</v>
      </c>
      <c r="BI62" t="n">
        <v>66211037.5108177</v>
      </c>
      <c r="BJ62" t="n">
        <v>37375344.4067686</v>
      </c>
      <c r="BK62" t="n">
        <v>28045495.3118326</v>
      </c>
      <c r="BL62" t="n">
        <v>28436648.6131701</v>
      </c>
      <c r="BM62" t="n">
        <v>23052508.8587965</v>
      </c>
      <c r="BN62" t="n">
        <v>82193464.9253232</v>
      </c>
      <c r="BO62" t="n">
        <v>122586665.47727</v>
      </c>
      <c r="BP62" t="n">
        <v>66690832.9707001</v>
      </c>
      <c r="BQ62" t="n">
        <v>29328983.6900431</v>
      </c>
      <c r="BR62" t="n">
        <v>3290425.58153517</v>
      </c>
      <c r="BS62" t="n">
        <v>312261411.365059</v>
      </c>
      <c r="BT62" t="n">
        <v>54311742.5110709</v>
      </c>
      <c r="BU62" t="n">
        <v>319082616.988633</v>
      </c>
      <c r="BV62" t="n">
        <v>0</v>
      </c>
      <c r="BW62" t="n">
        <v>185804044.413721</v>
      </c>
      <c r="BX62" t="n">
        <v>1957833999.31467</v>
      </c>
      <c r="BY62" t="n">
        <v>13185064.7758772</v>
      </c>
      <c r="BZ62" t="n">
        <v>0</v>
      </c>
      <c r="CA62" t="n">
        <v>2608043802.21178</v>
      </c>
      <c r="CB62" t="n">
        <v>-1560283895.95374</v>
      </c>
      <c r="CC62" t="n">
        <v>0</v>
      </c>
      <c r="CD62" t="n">
        <v>0</v>
      </c>
      <c r="CE62" t="n">
        <v>0</v>
      </c>
      <c r="CF62" t="n">
        <v>55486294.2880325</v>
      </c>
      <c r="CG62" t="n">
        <v>0</v>
      </c>
      <c r="CH62" t="n">
        <v>0</v>
      </c>
      <c r="CI62" t="n">
        <v>0</v>
      </c>
      <c r="CJ62" t="n">
        <v>80765308.4512698</v>
      </c>
      <c r="CK62" t="n">
        <v>0</v>
      </c>
      <c r="CL62" t="n">
        <v>0</v>
      </c>
      <c r="CM62" t="n">
        <v>0</v>
      </c>
      <c r="CN62" t="n">
        <v>85640365.0466351</v>
      </c>
    </row>
    <row r="63">
      <c r="A63" t="s">
        <v>174</v>
      </c>
      <c r="B63" t="n">
        <v>0</v>
      </c>
      <c r="C63" t="n">
        <v>0</v>
      </c>
      <c r="D63" t="n">
        <v>2860039.31786695</v>
      </c>
      <c r="E63" t="n">
        <v>185555684.460936</v>
      </c>
      <c r="F63" t="n">
        <v>886299.166847462</v>
      </c>
      <c r="G63" t="n">
        <v>886900.92083197</v>
      </c>
      <c r="H63" t="n">
        <v>166210978.158637</v>
      </c>
      <c r="I63" t="n">
        <v>12918824.2272473</v>
      </c>
      <c r="J63" t="n">
        <v>38940981.9255534</v>
      </c>
      <c r="K63" t="n">
        <v>10458334.9436841</v>
      </c>
      <c r="L63" t="n">
        <v>114612918.23415</v>
      </c>
      <c r="M63" t="n">
        <v>321999840.010964</v>
      </c>
      <c r="N63" t="n">
        <v>110301301.497014</v>
      </c>
      <c r="O63" t="n">
        <v>40262436.1820324</v>
      </c>
      <c r="P63" t="n">
        <v>40676314.4025021</v>
      </c>
      <c r="Q63" t="n">
        <v>20487602.6925856</v>
      </c>
      <c r="R63" t="n">
        <v>11153052.2298909</v>
      </c>
      <c r="S63" t="n">
        <v>206229171.948048</v>
      </c>
      <c r="T63" t="n">
        <v>468729262.045423</v>
      </c>
      <c r="U63" t="n">
        <v>6061840.55526223</v>
      </c>
      <c r="V63" t="n">
        <v>3921547.52357854</v>
      </c>
      <c r="W63" t="n">
        <v>51019851.9347243</v>
      </c>
      <c r="X63" t="n">
        <v>19738813.1565021</v>
      </c>
      <c r="Y63" t="n">
        <v>85522323.8965344</v>
      </c>
      <c r="Z63" t="n">
        <v>139954736.174953</v>
      </c>
      <c r="AA63" t="n">
        <v>33789652.1550073</v>
      </c>
      <c r="AB63" t="n">
        <v>1731722337.37399</v>
      </c>
      <c r="AC63" t="n">
        <v>26532130.3924491</v>
      </c>
      <c r="AD63" t="n">
        <v>73716605.3444011</v>
      </c>
      <c r="AE63" t="n">
        <v>198458427.305084</v>
      </c>
      <c r="AF63" t="n">
        <v>343192567.793086</v>
      </c>
      <c r="AG63" t="n">
        <v>137931539.512951</v>
      </c>
      <c r="AH63" t="n">
        <v>336439.73180554</v>
      </c>
      <c r="AI63" t="n">
        <v>24934194.7213192</v>
      </c>
      <c r="AJ63" t="n">
        <v>69517692.0691594</v>
      </c>
      <c r="AK63" t="n">
        <v>4602519.78285153</v>
      </c>
      <c r="AL63" t="n">
        <v>22753.1358371331</v>
      </c>
      <c r="AM63" t="n">
        <v>77817693.630355</v>
      </c>
      <c r="AN63" t="n">
        <v>13733457.53994</v>
      </c>
      <c r="AO63" t="n">
        <v>57803328.3993553</v>
      </c>
      <c r="AP63" t="n">
        <v>1726063.57725661</v>
      </c>
      <c r="AQ63" t="n">
        <v>38239310.9197375</v>
      </c>
      <c r="AR63" t="n">
        <v>24269625.0773372</v>
      </c>
      <c r="AS63" t="n">
        <v>113574557.000472</v>
      </c>
      <c r="AT63" t="n">
        <v>176799890.233927</v>
      </c>
      <c r="AU63" t="n">
        <v>113227671.722757</v>
      </c>
      <c r="AV63" t="n">
        <v>35106581.1498828</v>
      </c>
      <c r="AW63" t="n">
        <v>352305.534872294</v>
      </c>
      <c r="AX63" t="n">
        <v>185536969.746839</v>
      </c>
      <c r="AY63" t="n">
        <v>61612806.9721357</v>
      </c>
      <c r="AZ63" t="n">
        <v>51100307.3078014</v>
      </c>
      <c r="BA63" t="n">
        <v>60415554.184983</v>
      </c>
      <c r="BB63" t="n">
        <v>238413912.623703</v>
      </c>
      <c r="BC63" t="n">
        <v>1635409.24088573</v>
      </c>
      <c r="BD63" t="n">
        <v>246422078.26168</v>
      </c>
      <c r="BE63" t="n">
        <v>49819241.3316571</v>
      </c>
      <c r="BF63" t="n">
        <v>87038289.8367249</v>
      </c>
      <c r="BG63" t="n">
        <v>841180141.901199</v>
      </c>
      <c r="BH63" t="n">
        <v>202226278.27123</v>
      </c>
      <c r="BI63" t="n">
        <v>159272655.405968</v>
      </c>
      <c r="BJ63" t="n">
        <v>44005632.7776606</v>
      </c>
      <c r="BK63" t="n">
        <v>43602009.3891742</v>
      </c>
      <c r="BL63" t="n">
        <v>37404032.3323406</v>
      </c>
      <c r="BM63" t="n">
        <v>192227594.982752</v>
      </c>
      <c r="BN63" t="n">
        <v>592382826.084331</v>
      </c>
      <c r="BO63" t="n">
        <v>157678174.020531</v>
      </c>
      <c r="BP63" t="n">
        <v>0</v>
      </c>
      <c r="BQ63" t="n">
        <v>0</v>
      </c>
      <c r="BR63" t="n">
        <v>1452233.69273674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165072207.34648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7749597.27840639</v>
      </c>
      <c r="C64" t="n">
        <v>106885.773420941</v>
      </c>
      <c r="D64" t="n">
        <v>37694.481992472</v>
      </c>
      <c r="E64" t="n">
        <v>11523779.4669026</v>
      </c>
      <c r="F64" t="n">
        <v>237106.621673406</v>
      </c>
      <c r="G64" t="n">
        <v>112475892.540712</v>
      </c>
      <c r="H64" t="n">
        <v>84206590.6418871</v>
      </c>
      <c r="I64" t="n">
        <v>12336083.2414906</v>
      </c>
      <c r="J64" t="n">
        <v>13563233.6126749</v>
      </c>
      <c r="K64" t="n">
        <v>25766031.6693149</v>
      </c>
      <c r="L64" t="n">
        <v>160115964.013453</v>
      </c>
      <c r="M64" t="n">
        <v>56312411.8553702</v>
      </c>
      <c r="N64" t="n">
        <v>41303515.6808691</v>
      </c>
      <c r="O64" t="n">
        <v>6477580.86778759</v>
      </c>
      <c r="P64" t="n">
        <v>11765506.401072</v>
      </c>
      <c r="Q64" t="n">
        <v>22299669.3891545</v>
      </c>
      <c r="R64" t="n">
        <v>5823003.08149066</v>
      </c>
      <c r="S64" t="n">
        <v>59733455.5174482</v>
      </c>
      <c r="T64" t="n">
        <v>47084958.2088531</v>
      </c>
      <c r="U64" t="n">
        <v>1173507.93859948</v>
      </c>
      <c r="V64" t="n">
        <v>2787619.18978893</v>
      </c>
      <c r="W64" t="n">
        <v>21615618.094255</v>
      </c>
      <c r="X64" t="n">
        <v>90942742.7354362</v>
      </c>
      <c r="Y64" t="n">
        <v>26450152.3894813</v>
      </c>
      <c r="Z64" t="n">
        <v>25592665.3377318</v>
      </c>
      <c r="AA64" t="n">
        <v>23064257.4892265</v>
      </c>
      <c r="AB64" t="n">
        <v>875422899.173145</v>
      </c>
      <c r="AC64" t="n">
        <v>62326116.5042348</v>
      </c>
      <c r="AD64" t="n">
        <v>30657403.5301573</v>
      </c>
      <c r="AE64" t="n">
        <v>57431663.5978074</v>
      </c>
      <c r="AF64" t="n">
        <v>175955242.601668</v>
      </c>
      <c r="AG64" t="n">
        <v>68749761.7779687</v>
      </c>
      <c r="AH64" t="n">
        <v>14608320.6539598</v>
      </c>
      <c r="AI64" t="n">
        <v>63632525.9531212</v>
      </c>
      <c r="AJ64" t="n">
        <v>113687998.608558</v>
      </c>
      <c r="AK64" t="n">
        <v>95145380.549221</v>
      </c>
      <c r="AL64" t="n">
        <v>12866666.8460261</v>
      </c>
      <c r="AM64" t="n">
        <v>74053885.7172796</v>
      </c>
      <c r="AN64" t="n">
        <v>32837557.2639132</v>
      </c>
      <c r="AO64" t="n">
        <v>184006599.886077</v>
      </c>
      <c r="AP64" t="n">
        <v>3809858.96015961</v>
      </c>
      <c r="AQ64" t="n">
        <v>225885126.884513</v>
      </c>
      <c r="AR64" t="n">
        <v>105418055.301573</v>
      </c>
      <c r="AS64" t="n">
        <v>260803541.904378</v>
      </c>
      <c r="AT64" t="n">
        <v>118833753.019987</v>
      </c>
      <c r="AU64" t="n">
        <v>156247364.293233</v>
      </c>
      <c r="AV64" t="n">
        <v>2859702.53045742</v>
      </c>
      <c r="AW64" t="n">
        <v>29217800.9551961</v>
      </c>
      <c r="AX64" t="n">
        <v>804400197.406702</v>
      </c>
      <c r="AY64" t="n">
        <v>82848248.7159303</v>
      </c>
      <c r="AZ64" t="n">
        <v>80350399.0215633</v>
      </c>
      <c r="BA64" t="n">
        <v>281026825.448761</v>
      </c>
      <c r="BB64" t="n">
        <v>557320657.574661</v>
      </c>
      <c r="BC64" t="n">
        <v>374573334.76544</v>
      </c>
      <c r="BD64" t="n">
        <v>720655476.323542</v>
      </c>
      <c r="BE64" t="n">
        <v>46966972.8110594</v>
      </c>
      <c r="BF64" t="n">
        <v>41478481.7518591</v>
      </c>
      <c r="BG64" t="n">
        <v>349780029.262</v>
      </c>
      <c r="BH64" t="n">
        <v>517886052.013591</v>
      </c>
      <c r="BI64" t="n">
        <v>165234830.519723</v>
      </c>
      <c r="BJ64" t="n">
        <v>50058920.2077789</v>
      </c>
      <c r="BK64" t="n">
        <v>40708869.6366732</v>
      </c>
      <c r="BL64" t="n">
        <v>27658794.7234282</v>
      </c>
      <c r="BM64" t="n">
        <v>36151368.3022483</v>
      </c>
      <c r="BN64" t="n">
        <v>92184080.9963577</v>
      </c>
      <c r="BO64" t="n">
        <v>168195643.187162</v>
      </c>
      <c r="BP64" t="n">
        <v>19513708.0334629</v>
      </c>
      <c r="BQ64" t="n">
        <v>56684426.9624787</v>
      </c>
      <c r="BR64" t="n">
        <v>3338550.34315686</v>
      </c>
      <c r="BS64" t="n">
        <v>455532191.751298</v>
      </c>
      <c r="BT64" t="n">
        <v>48774310.5105788</v>
      </c>
      <c r="BU64" t="n">
        <v>847379196.719147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44478274.816345</v>
      </c>
      <c r="CB64" t="n">
        <v>-41427127.3156553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1362604.13568126</v>
      </c>
      <c r="C65" t="n">
        <v>3344.33291603781</v>
      </c>
      <c r="D65" t="n">
        <v>21052.8244972354</v>
      </c>
      <c r="E65" t="n">
        <v>991711.113879078</v>
      </c>
      <c r="F65" t="n">
        <v>7474.72050269604</v>
      </c>
      <c r="G65" t="n">
        <v>2653039.85288041</v>
      </c>
      <c r="H65" t="n">
        <v>9036525.32591788</v>
      </c>
      <c r="I65" t="n">
        <v>1093939.95787777</v>
      </c>
      <c r="J65" t="n">
        <v>1283183.48721706</v>
      </c>
      <c r="K65" t="n">
        <v>838942.782406679</v>
      </c>
      <c r="L65" t="n">
        <v>2708406.84179395</v>
      </c>
      <c r="M65" t="n">
        <v>2067086.52039409</v>
      </c>
      <c r="N65" t="n">
        <v>755898.377068994</v>
      </c>
      <c r="O65" t="n">
        <v>322743.155856829</v>
      </c>
      <c r="P65" t="n">
        <v>294286.885212971</v>
      </c>
      <c r="Q65" t="n">
        <v>345567.072317699</v>
      </c>
      <c r="R65" t="n">
        <v>680728.829652756</v>
      </c>
      <c r="S65" t="n">
        <v>1647720.78124349</v>
      </c>
      <c r="T65" t="n">
        <v>6734847.79944352</v>
      </c>
      <c r="U65" t="n">
        <v>126391.219649624</v>
      </c>
      <c r="V65" t="n">
        <v>4275.44230516285</v>
      </c>
      <c r="W65" t="n">
        <v>1924964.1978238</v>
      </c>
      <c r="X65" t="n">
        <v>1152781.66207456</v>
      </c>
      <c r="Y65" t="n">
        <v>2510159.64385085</v>
      </c>
      <c r="Z65" t="n">
        <v>3325211.47557183</v>
      </c>
      <c r="AA65" t="n">
        <v>1541099.12471596</v>
      </c>
      <c r="AB65" t="n">
        <v>12834511.7427287</v>
      </c>
      <c r="AC65" t="n">
        <v>3290423.3148145</v>
      </c>
      <c r="AD65" t="n">
        <v>1678852.12275233</v>
      </c>
      <c r="AE65" t="n">
        <v>1138296.50253013</v>
      </c>
      <c r="AF65" t="n">
        <v>4287285.3431855</v>
      </c>
      <c r="AG65" t="n">
        <v>839322.007827954</v>
      </c>
      <c r="AH65" t="n">
        <v>1206018.16467008</v>
      </c>
      <c r="AI65" t="n">
        <v>46597.7164734684</v>
      </c>
      <c r="AJ65" t="n">
        <v>4169335.60277933</v>
      </c>
      <c r="AK65" t="n">
        <v>263018.687547873</v>
      </c>
      <c r="AL65" t="n">
        <v>521394.621055782</v>
      </c>
      <c r="AM65" t="n">
        <v>905135.704433586</v>
      </c>
      <c r="AN65" t="n">
        <v>578713.247391251</v>
      </c>
      <c r="AO65" t="n">
        <v>223792.305692093</v>
      </c>
      <c r="AP65" t="n">
        <v>47754.5691603529</v>
      </c>
      <c r="AQ65" t="n">
        <v>230771.13513207</v>
      </c>
      <c r="AR65" t="n">
        <v>163835.830043865</v>
      </c>
      <c r="AS65" t="n">
        <v>2246601.22812763</v>
      </c>
      <c r="AT65" t="n">
        <v>498419.826348735</v>
      </c>
      <c r="AU65" t="n">
        <v>8377673.78269938</v>
      </c>
      <c r="AV65" t="n">
        <v>3563137.89883087</v>
      </c>
      <c r="AW65" t="n">
        <v>12713.6727293327</v>
      </c>
      <c r="AX65" t="n">
        <v>139003210.901389</v>
      </c>
      <c r="AY65" t="n">
        <v>1197420.91684546</v>
      </c>
      <c r="AZ65" t="n">
        <v>1151451.29410302</v>
      </c>
      <c r="BA65" t="n">
        <v>1285831.6170247</v>
      </c>
      <c r="BB65" t="n">
        <v>9381460.01004943</v>
      </c>
      <c r="BC65" t="n">
        <v>6391374.46047778</v>
      </c>
      <c r="BD65" t="n">
        <v>9070673.72195031</v>
      </c>
      <c r="BE65" t="n">
        <v>55355471.5445953</v>
      </c>
      <c r="BF65" t="n">
        <v>1069280.48514826</v>
      </c>
      <c r="BG65" t="n">
        <v>9600893.695799</v>
      </c>
      <c r="BH65" t="n">
        <v>12240250.9995653</v>
      </c>
      <c r="BI65" t="n">
        <v>6333026.23207865</v>
      </c>
      <c r="BJ65" t="n">
        <v>2995599.3338037</v>
      </c>
      <c r="BK65" t="n">
        <v>462183.378481534</v>
      </c>
      <c r="BL65" t="n">
        <v>2202492.07606891</v>
      </c>
      <c r="BM65" t="n">
        <v>2875677.39892801</v>
      </c>
      <c r="BN65" t="n">
        <v>7276557.25892751</v>
      </c>
      <c r="BO65" t="n">
        <v>7285091.04426946</v>
      </c>
      <c r="BP65" t="n">
        <v>143462.891868065</v>
      </c>
      <c r="BQ65" t="n">
        <v>2577247.98525728</v>
      </c>
      <c r="BR65" t="n">
        <v>599655.321583809</v>
      </c>
      <c r="BS65" t="n">
        <v>118756671.419437</v>
      </c>
      <c r="BT65" t="n">
        <v>13189620.1003603</v>
      </c>
      <c r="BU65" t="n">
        <v>176706766.475164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4214283.97079804</v>
      </c>
      <c r="CB65" t="n">
        <v>-4834777.9113728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15908.0583503318</v>
      </c>
      <c r="C66" t="n">
        <v>0</v>
      </c>
      <c r="D66" t="n">
        <v>0</v>
      </c>
      <c r="E66" t="n">
        <v>0</v>
      </c>
      <c r="F66" t="n">
        <v>0</v>
      </c>
      <c r="G66" t="n">
        <v>534704.419530521</v>
      </c>
      <c r="H66" t="n">
        <v>21033.5678318925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303417.383388223</v>
      </c>
      <c r="Y66" t="n">
        <v>30967.3415058945</v>
      </c>
      <c r="Z66" t="n">
        <v>0</v>
      </c>
      <c r="AA66" t="n">
        <v>5644.63035386431</v>
      </c>
      <c r="AB66" t="n">
        <v>9530014.92746348</v>
      </c>
      <c r="AC66" t="n">
        <v>341606.700000739</v>
      </c>
      <c r="AD66" t="n">
        <v>2214891.27741012</v>
      </c>
      <c r="AE66" t="n">
        <v>0</v>
      </c>
      <c r="AF66" t="n">
        <v>11571050.3027042</v>
      </c>
      <c r="AG66" t="n">
        <v>1016100.41979551</v>
      </c>
      <c r="AH66" t="n">
        <v>75124.601597667</v>
      </c>
      <c r="AI66" t="n">
        <v>0</v>
      </c>
      <c r="AJ66" t="n">
        <v>0</v>
      </c>
      <c r="AK66" t="n">
        <v>0</v>
      </c>
      <c r="AL66" t="n">
        <v>19052.3008648047</v>
      </c>
      <c r="AM66" t="n">
        <v>106341.114243895</v>
      </c>
      <c r="AN66" t="n">
        <v>0</v>
      </c>
      <c r="AO66" t="n">
        <v>0</v>
      </c>
      <c r="AP66" t="n">
        <v>0</v>
      </c>
      <c r="AQ66" t="n">
        <v>46562.7107549183</v>
      </c>
      <c r="AR66" t="n">
        <v>241128.434050263</v>
      </c>
      <c r="AS66" t="n">
        <v>196112.823387812</v>
      </c>
      <c r="AT66" t="n">
        <v>30840.304095903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369920.753237761</v>
      </c>
      <c r="BB66" t="n">
        <v>165589.046894334</v>
      </c>
      <c r="BC66" t="n">
        <v>0</v>
      </c>
      <c r="BD66" t="n">
        <v>987425.161930259</v>
      </c>
      <c r="BE66" t="n">
        <v>0</v>
      </c>
      <c r="BF66" t="n">
        <v>9250526.11792369</v>
      </c>
      <c r="BG66" t="n">
        <v>0</v>
      </c>
      <c r="BH66" t="n">
        <v>30634.7971872526</v>
      </c>
      <c r="BI66" t="n">
        <v>0</v>
      </c>
      <c r="BJ66" t="n">
        <v>0</v>
      </c>
      <c r="BK66" t="n">
        <v>10948275.9860469</v>
      </c>
      <c r="BL66" t="n">
        <v>1094358.59435632</v>
      </c>
      <c r="BM66" t="n">
        <v>0</v>
      </c>
      <c r="BN66" t="n">
        <v>0</v>
      </c>
      <c r="BO66" t="n">
        <v>9524307.06172183</v>
      </c>
      <c r="BP66" t="n">
        <v>0</v>
      </c>
      <c r="BQ66" t="n">
        <v>48504.3496174077</v>
      </c>
      <c r="BR66" t="n">
        <v>285298.288911216</v>
      </c>
      <c r="BS66" t="n">
        <v>48813002.8125676</v>
      </c>
      <c r="BT66" t="n">
        <v>24231.6383845453</v>
      </c>
      <c r="BU66" t="n">
        <v>2106581268.46905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38581575.32788</v>
      </c>
      <c r="CB66" t="n">
        <v>-32973725.3764975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1427056.84548451</v>
      </c>
      <c r="BC67" t="n">
        <v>0</v>
      </c>
      <c r="BD67" t="n">
        <v>1337786.50306748</v>
      </c>
      <c r="BE67" t="n">
        <v>0</v>
      </c>
      <c r="BF67" t="n">
        <v>0</v>
      </c>
      <c r="BG67" t="n">
        <v>334072041.95806</v>
      </c>
      <c r="BH67" t="n">
        <v>290696095.220317</v>
      </c>
      <c r="BI67" t="n">
        <v>2844431.55452436</v>
      </c>
      <c r="BJ67" t="n">
        <v>24366.9335075968</v>
      </c>
      <c r="BK67" t="n">
        <v>1906176.82853056</v>
      </c>
      <c r="BL67" t="n">
        <v>46459.3662985084</v>
      </c>
      <c r="BM67" t="n">
        <v>0</v>
      </c>
      <c r="BN67" t="n">
        <v>0</v>
      </c>
      <c r="BO67" t="n">
        <v>946840.523663636</v>
      </c>
      <c r="BP67" t="n">
        <v>0</v>
      </c>
      <c r="BQ67" t="n">
        <v>5660758.11116586</v>
      </c>
      <c r="BR67" t="n">
        <v>0</v>
      </c>
      <c r="BS67" t="n">
        <v>191754821.029943</v>
      </c>
      <c r="BT67" t="n">
        <v>0</v>
      </c>
      <c r="BU67" t="n">
        <v>22967011021.6791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22233233.7032813</v>
      </c>
      <c r="CB67" t="n">
        <v>-8165023.46866608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20951676.8513368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22838623222.8353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96476273.2402939</v>
      </c>
      <c r="CB68" t="n">
        <v>-110870395.986833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17815013.9564625</v>
      </c>
      <c r="BR69" t="n">
        <v>0</v>
      </c>
      <c r="BS69" t="n">
        <v>22969561.4495761</v>
      </c>
      <c r="BT69" t="n">
        <v>0</v>
      </c>
      <c r="BU69" t="n">
        <v>5150355857.76948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8180583.00289462</v>
      </c>
      <c r="CB69" t="n">
        <v>-2323728.75642803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4998305599.02994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1946824.82998079</v>
      </c>
      <c r="C71" t="n">
        <v>0</v>
      </c>
      <c r="D71" t="n">
        <v>0</v>
      </c>
      <c r="E71" t="n">
        <v>0</v>
      </c>
      <c r="F71" t="n">
        <v>4193.16280158824</v>
      </c>
      <c r="G71" t="n">
        <v>1629186.15977423</v>
      </c>
      <c r="H71" t="n">
        <v>2809804.77684441</v>
      </c>
      <c r="I71" t="n">
        <v>697489.436430392</v>
      </c>
      <c r="J71" t="n">
        <v>604296.402928018</v>
      </c>
      <c r="K71" t="n">
        <v>463110.069295734</v>
      </c>
      <c r="L71" t="n">
        <v>1750962.26531237</v>
      </c>
      <c r="M71" t="n">
        <v>1317951.75321946</v>
      </c>
      <c r="N71" t="n">
        <v>150934.572339076</v>
      </c>
      <c r="O71" t="n">
        <v>83088.1508444959</v>
      </c>
      <c r="P71" t="n">
        <v>183837.597001665</v>
      </c>
      <c r="Q71" t="n">
        <v>90097.3210584918</v>
      </c>
      <c r="R71" t="n">
        <v>348307.907011384</v>
      </c>
      <c r="S71" t="n">
        <v>1322490.6788003</v>
      </c>
      <c r="T71" t="n">
        <v>1865135.71639869</v>
      </c>
      <c r="U71" t="n">
        <v>33164.3494843179</v>
      </c>
      <c r="V71" t="n">
        <v>11667.2624672497</v>
      </c>
      <c r="W71" t="n">
        <v>818159.094778261</v>
      </c>
      <c r="X71" t="n">
        <v>1455532.36934371</v>
      </c>
      <c r="Y71" t="n">
        <v>713220.549187195</v>
      </c>
      <c r="Z71" t="n">
        <v>261464.941716508</v>
      </c>
      <c r="AA71" t="n">
        <v>1530943.20360829</v>
      </c>
      <c r="AB71" t="n">
        <v>57549176.7938374</v>
      </c>
      <c r="AC71" t="n">
        <v>5796729.32279185</v>
      </c>
      <c r="AD71" t="n">
        <v>5814385.28319869</v>
      </c>
      <c r="AE71" t="n">
        <v>1242519.77808555</v>
      </c>
      <c r="AF71" t="n">
        <v>7615339.88231052</v>
      </c>
      <c r="AG71" t="n">
        <v>0</v>
      </c>
      <c r="AH71" t="n">
        <v>3379457.03297809</v>
      </c>
      <c r="AI71" t="n">
        <v>0</v>
      </c>
      <c r="AJ71" t="n">
        <v>1084835.16518085</v>
      </c>
      <c r="AK71" t="n">
        <v>358876.09308947</v>
      </c>
      <c r="AL71" t="n">
        <v>0</v>
      </c>
      <c r="AM71" t="n">
        <v>3324634.8372141</v>
      </c>
      <c r="AN71" t="n">
        <v>58801.9234490274</v>
      </c>
      <c r="AO71" t="n">
        <v>2588355.89485646</v>
      </c>
      <c r="AP71" t="n">
        <v>32977631.8118892</v>
      </c>
      <c r="AQ71" t="n">
        <v>272175418.93842</v>
      </c>
      <c r="AR71" t="n">
        <v>3217311.85866997</v>
      </c>
      <c r="AS71" t="n">
        <v>44576719.0683712</v>
      </c>
      <c r="AT71" t="n">
        <v>8953936.5897777</v>
      </c>
      <c r="AU71" t="n">
        <v>3984265.99141078</v>
      </c>
      <c r="AV71" t="n">
        <v>8998264.60904231</v>
      </c>
      <c r="AW71" t="n">
        <v>0</v>
      </c>
      <c r="AX71" t="n">
        <v>43737997.6719388</v>
      </c>
      <c r="AY71" t="n">
        <v>1401366.14073083</v>
      </c>
      <c r="AZ71" t="n">
        <v>6438378.31252082</v>
      </c>
      <c r="BA71" t="n">
        <v>12183537.0398922</v>
      </c>
      <c r="BB71" t="n">
        <v>71242120.095064</v>
      </c>
      <c r="BC71" t="n">
        <v>122884009.719947</v>
      </c>
      <c r="BD71" t="n">
        <v>25761000.3137718</v>
      </c>
      <c r="BE71" t="n">
        <v>1411759.21904139</v>
      </c>
      <c r="BF71" t="n">
        <v>17167759.8484657</v>
      </c>
      <c r="BG71" t="n">
        <v>18011434.7386492</v>
      </c>
      <c r="BH71" t="n">
        <v>24994771.4551803</v>
      </c>
      <c r="BI71" t="n">
        <v>5115352.73573469</v>
      </c>
      <c r="BJ71" t="n">
        <v>16644211.1317037</v>
      </c>
      <c r="BK71" t="n">
        <v>267534424.003866</v>
      </c>
      <c r="BL71" t="n">
        <v>8683811.36802113</v>
      </c>
      <c r="BM71" t="n">
        <v>2631097.91981072</v>
      </c>
      <c r="BN71" t="n">
        <v>38544911.0302228</v>
      </c>
      <c r="BO71" t="n">
        <v>20145918.1187088</v>
      </c>
      <c r="BP71" t="n">
        <v>0</v>
      </c>
      <c r="BQ71" t="n">
        <v>127599.602798318</v>
      </c>
      <c r="BR71" t="n">
        <v>221715.605608813</v>
      </c>
      <c r="BS71" t="n">
        <v>23518215.8443222</v>
      </c>
      <c r="BT71" t="n">
        <v>267169.798828109</v>
      </c>
      <c r="BU71" t="n">
        <v>1207100987.31367</v>
      </c>
      <c r="BV71" t="n">
        <v>0</v>
      </c>
      <c r="BW71" t="n">
        <v>0</v>
      </c>
      <c r="BX71" t="n">
        <v>70286453.2581843</v>
      </c>
      <c r="BY71" t="n">
        <v>0</v>
      </c>
      <c r="BZ71" t="n">
        <v>0</v>
      </c>
      <c r="CA71" t="n">
        <v>21509271.958807</v>
      </c>
      <c r="CB71" t="n">
        <v>-20558366.0423038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204545.673847159</v>
      </c>
      <c r="C72" t="n">
        <v>0</v>
      </c>
      <c r="D72" t="n">
        <v>0</v>
      </c>
      <c r="E72" t="n">
        <v>0</v>
      </c>
      <c r="F72" t="n">
        <v>950.164317464176</v>
      </c>
      <c r="G72" t="n">
        <v>274225.486867139</v>
      </c>
      <c r="H72" t="n">
        <v>618170.124612294</v>
      </c>
      <c r="I72" t="n">
        <v>69720.3219707452</v>
      </c>
      <c r="J72" t="n">
        <v>95232.8603056815</v>
      </c>
      <c r="K72" t="n">
        <v>33544.9297677934</v>
      </c>
      <c r="L72" t="n">
        <v>196444.94548838</v>
      </c>
      <c r="M72" t="n">
        <v>129745.015642821</v>
      </c>
      <c r="N72" t="n">
        <v>20954.5327665397</v>
      </c>
      <c r="O72" t="n">
        <v>6921.17128263039</v>
      </c>
      <c r="P72" t="n">
        <v>20149.3595103435</v>
      </c>
      <c r="Q72" t="n">
        <v>10006.7054859046</v>
      </c>
      <c r="R72" t="n">
        <v>48356.2469300836</v>
      </c>
      <c r="S72" t="n">
        <v>146883.110120635</v>
      </c>
      <c r="T72" t="n">
        <v>153623.25884586</v>
      </c>
      <c r="U72" t="n">
        <v>0</v>
      </c>
      <c r="V72" t="n">
        <v>0</v>
      </c>
      <c r="W72" t="n">
        <v>61162.0034881042</v>
      </c>
      <c r="X72" t="n">
        <v>156444.633075565</v>
      </c>
      <c r="Y72" t="n">
        <v>37921.6955935397</v>
      </c>
      <c r="Z72" t="n">
        <v>29947.2305977592</v>
      </c>
      <c r="AA72" t="n">
        <v>117508.221285362</v>
      </c>
      <c r="AB72" t="n">
        <v>3517734.83621414</v>
      </c>
      <c r="AC72" t="n">
        <v>41832.1517450113</v>
      </c>
      <c r="AD72" t="n">
        <v>196911.03542159</v>
      </c>
      <c r="AE72" t="n">
        <v>14375.1146603202</v>
      </c>
      <c r="AF72" t="n">
        <v>1642923.56084768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21703.7001312454</v>
      </c>
      <c r="AN72" t="n">
        <v>3498.67820933355</v>
      </c>
      <c r="AO72" t="n">
        <v>159712.491528528</v>
      </c>
      <c r="AP72" t="n">
        <v>18878.8487736244</v>
      </c>
      <c r="AQ72" t="n">
        <v>133045.094194407</v>
      </c>
      <c r="AR72" t="n">
        <v>409666.066572862</v>
      </c>
      <c r="AS72" t="n">
        <v>3193399.07437352</v>
      </c>
      <c r="AT72" t="n">
        <v>906387.103624831</v>
      </c>
      <c r="AU72" t="n">
        <v>244676.125029779</v>
      </c>
      <c r="AV72" t="n">
        <v>319719.197381021</v>
      </c>
      <c r="AW72" t="n">
        <v>0</v>
      </c>
      <c r="AX72" t="n">
        <v>0</v>
      </c>
      <c r="AY72" t="n">
        <v>150628.092994187</v>
      </c>
      <c r="AZ72" t="n">
        <v>395082.788798346</v>
      </c>
      <c r="BA72" t="n">
        <v>1434481.23518318</v>
      </c>
      <c r="BB72" t="n">
        <v>2323697.3523818</v>
      </c>
      <c r="BC72" t="n">
        <v>10471532.602812</v>
      </c>
      <c r="BD72" t="n">
        <v>2394818.87869657</v>
      </c>
      <c r="BE72" t="n">
        <v>153513.203724507</v>
      </c>
      <c r="BF72" t="n">
        <v>255066.820606269</v>
      </c>
      <c r="BG72" t="n">
        <v>2299275.52317571</v>
      </c>
      <c r="BH72" t="n">
        <v>105040.520484922</v>
      </c>
      <c r="BI72" t="n">
        <v>299569.327427218</v>
      </c>
      <c r="BJ72" t="n">
        <v>512900.489630103</v>
      </c>
      <c r="BK72" t="n">
        <v>739148.039165521</v>
      </c>
      <c r="BL72" t="n">
        <v>1298725.69947124</v>
      </c>
      <c r="BM72" t="n">
        <v>1365707.06312271</v>
      </c>
      <c r="BN72" t="n">
        <v>4049415.45898684</v>
      </c>
      <c r="BO72" t="n">
        <v>256661.725081784</v>
      </c>
      <c r="BP72" t="n">
        <v>9109.14806264146</v>
      </c>
      <c r="BQ72" t="n">
        <v>6252.31578175194</v>
      </c>
      <c r="BR72" t="n">
        <v>2863.67125720133</v>
      </c>
      <c r="BS72" t="n">
        <v>4329308.02259629</v>
      </c>
      <c r="BT72" t="n">
        <v>389462.740567904</v>
      </c>
      <c r="BU72" t="n">
        <v>1204055177.0082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283331.003719702</v>
      </c>
      <c r="CB72" t="n">
        <v>-440425.901007553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21098.5093156761</v>
      </c>
      <c r="C73" t="n">
        <v>0</v>
      </c>
      <c r="D73" t="n">
        <v>106.384293323967</v>
      </c>
      <c r="E73" t="n">
        <v>233764.753388501</v>
      </c>
      <c r="F73" t="n">
        <v>31235.629983494</v>
      </c>
      <c r="G73" t="n">
        <v>13298392.0381306</v>
      </c>
      <c r="H73" t="n">
        <v>5537427.5124227</v>
      </c>
      <c r="I73" t="n">
        <v>2315670.31873996</v>
      </c>
      <c r="J73" t="n">
        <v>2696439.31484169</v>
      </c>
      <c r="K73" t="n">
        <v>1226172.1182379</v>
      </c>
      <c r="L73" t="n">
        <v>6893450.1854753</v>
      </c>
      <c r="M73" t="n">
        <v>5037139.97616936</v>
      </c>
      <c r="N73" t="n">
        <v>907797.004528924</v>
      </c>
      <c r="O73" t="n">
        <v>374800.683234288</v>
      </c>
      <c r="P73" t="n">
        <v>912196.286547059</v>
      </c>
      <c r="Q73" t="n">
        <v>335972.386454492</v>
      </c>
      <c r="R73" t="n">
        <v>1613073.19919272</v>
      </c>
      <c r="S73" t="n">
        <v>5886055.54720829</v>
      </c>
      <c r="T73" t="n">
        <v>5460372.4004553</v>
      </c>
      <c r="U73" t="n">
        <v>101728.273998111</v>
      </c>
      <c r="V73" t="n">
        <v>21051.8486679674</v>
      </c>
      <c r="W73" t="n">
        <v>2233296.77394444</v>
      </c>
      <c r="X73" t="n">
        <v>7370563.60613778</v>
      </c>
      <c r="Y73" t="n">
        <v>1327972.24942981</v>
      </c>
      <c r="Z73" t="n">
        <v>1203025.73299746</v>
      </c>
      <c r="AA73" t="n">
        <v>4446891.6563051</v>
      </c>
      <c r="AB73" t="n">
        <v>54422691.0288671</v>
      </c>
      <c r="AC73" t="n">
        <v>478954.939316144</v>
      </c>
      <c r="AD73" t="n">
        <v>798026.151787493</v>
      </c>
      <c r="AE73" t="n">
        <v>762883.408706421</v>
      </c>
      <c r="AF73" t="n">
        <v>2907626.56295195</v>
      </c>
      <c r="AG73" t="n">
        <v>0</v>
      </c>
      <c r="AH73" t="n">
        <v>318835.563056485</v>
      </c>
      <c r="AI73" t="n">
        <v>0</v>
      </c>
      <c r="AJ73" t="n">
        <v>0</v>
      </c>
      <c r="AK73" t="n">
        <v>0</v>
      </c>
      <c r="AL73" t="n">
        <v>65698.4881444804</v>
      </c>
      <c r="AM73" t="n">
        <v>3685790.20150593</v>
      </c>
      <c r="AN73" t="n">
        <v>113677.896101144</v>
      </c>
      <c r="AO73" t="n">
        <v>6342508.93398031</v>
      </c>
      <c r="AP73" t="n">
        <v>897105.273320176</v>
      </c>
      <c r="AQ73" t="n">
        <v>5385045.00720421</v>
      </c>
      <c r="AR73" t="n">
        <v>16295565.8050744</v>
      </c>
      <c r="AS73" t="n">
        <v>126338371.532991</v>
      </c>
      <c r="AT73" t="n">
        <v>36260349.7077949</v>
      </c>
      <c r="AU73" t="n">
        <v>9522826.31377268</v>
      </c>
      <c r="AV73" t="n">
        <v>13004500.5486677</v>
      </c>
      <c r="AW73" t="n">
        <v>78251.0601268016</v>
      </c>
      <c r="AX73" t="n">
        <v>105469938.924903</v>
      </c>
      <c r="AY73" t="n">
        <v>6565226.65266372</v>
      </c>
      <c r="AZ73" t="n">
        <v>12269936.3459483</v>
      </c>
      <c r="BA73" t="n">
        <v>57951306.3018584</v>
      </c>
      <c r="BB73" t="n">
        <v>88464152.4232054</v>
      </c>
      <c r="BC73" t="n">
        <v>25696076.3662891</v>
      </c>
      <c r="BD73" t="n">
        <v>62381819.5878283</v>
      </c>
      <c r="BE73" t="n">
        <v>7078068.01767217</v>
      </c>
      <c r="BF73" t="n">
        <v>8157546.1035076</v>
      </c>
      <c r="BG73" t="n">
        <v>59987900.2463283</v>
      </c>
      <c r="BH73" t="n">
        <v>4501832.85654583</v>
      </c>
      <c r="BI73" t="n">
        <v>6869395.00631547</v>
      </c>
      <c r="BJ73" t="n">
        <v>7247949.42384818</v>
      </c>
      <c r="BK73" t="n">
        <v>1429892.59568911</v>
      </c>
      <c r="BL73" t="n">
        <v>2869223.94429342</v>
      </c>
      <c r="BM73" t="n">
        <v>4718152.92384567</v>
      </c>
      <c r="BN73" t="n">
        <v>27774578.4900778</v>
      </c>
      <c r="BO73" t="n">
        <v>8546235.98944874</v>
      </c>
      <c r="BP73" t="n">
        <v>9753902.85061247</v>
      </c>
      <c r="BQ73" t="n">
        <v>7022155.35479448</v>
      </c>
      <c r="BR73" t="n">
        <v>322557.594928794</v>
      </c>
      <c r="BS73" t="n">
        <v>47603953.923327</v>
      </c>
      <c r="BT73" t="n">
        <v>1438170.63042419</v>
      </c>
      <c r="BU73" t="n">
        <v>2230503318.20147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11457025.1968494</v>
      </c>
      <c r="C74" t="n">
        <v>45506.7933696545</v>
      </c>
      <c r="D74" t="n">
        <v>1910.9459843072</v>
      </c>
      <c r="E74" t="n">
        <v>1184344.38663814</v>
      </c>
      <c r="F74" t="n">
        <v>84311.8552573918</v>
      </c>
      <c r="G74" t="n">
        <v>35811931.9896186</v>
      </c>
      <c r="H74" t="n">
        <v>9289495.56066945</v>
      </c>
      <c r="I74" t="n">
        <v>4521263.30657613</v>
      </c>
      <c r="J74" t="n">
        <v>4662325.48571553</v>
      </c>
      <c r="K74" t="n">
        <v>2510008.60063391</v>
      </c>
      <c r="L74" t="n">
        <v>11171275.7983541</v>
      </c>
      <c r="M74" t="n">
        <v>9021164.19215988</v>
      </c>
      <c r="N74" t="n">
        <v>1317060.09156988</v>
      </c>
      <c r="O74" t="n">
        <v>973611.666034211</v>
      </c>
      <c r="P74" t="n">
        <v>1441343.38970194</v>
      </c>
      <c r="Q74" t="n">
        <v>621466.228017836</v>
      </c>
      <c r="R74" t="n">
        <v>2547261.71604673</v>
      </c>
      <c r="S74" t="n">
        <v>9232078.07212286</v>
      </c>
      <c r="T74" t="n">
        <v>11390403.5018755</v>
      </c>
      <c r="U74" t="n">
        <v>289393.215164415</v>
      </c>
      <c r="V74" t="n">
        <v>87264.7884179985</v>
      </c>
      <c r="W74" t="n">
        <v>4576463.74131137</v>
      </c>
      <c r="X74" t="n">
        <v>9189219.98495167</v>
      </c>
      <c r="Y74" t="n">
        <v>3953585.15571048</v>
      </c>
      <c r="Z74" t="n">
        <v>1971912.59780744</v>
      </c>
      <c r="AA74" t="n">
        <v>7447836.70005176</v>
      </c>
      <c r="AB74" t="n">
        <v>180614661.41062</v>
      </c>
      <c r="AC74" t="n">
        <v>14273266.3307878</v>
      </c>
      <c r="AD74" t="n">
        <v>14809968.4617583</v>
      </c>
      <c r="AE74" t="n">
        <v>20974627.2478209</v>
      </c>
      <c r="AF74" t="n">
        <v>54415922.2747752</v>
      </c>
      <c r="AG74" t="n">
        <v>201477259.112664</v>
      </c>
      <c r="AH74" t="n">
        <v>82602.9532758845</v>
      </c>
      <c r="AI74" t="n">
        <v>301179.199690702</v>
      </c>
      <c r="AJ74" t="n">
        <v>19772698.9514072</v>
      </c>
      <c r="AK74" t="n">
        <v>3131564.70848057</v>
      </c>
      <c r="AL74" t="n">
        <v>474841.296358169</v>
      </c>
      <c r="AM74" t="n">
        <v>19461840.2505329</v>
      </c>
      <c r="AN74" t="n">
        <v>2848270.41024942</v>
      </c>
      <c r="AO74" t="n">
        <v>7630635.43114465</v>
      </c>
      <c r="AP74" t="n">
        <v>1666885.76430064</v>
      </c>
      <c r="AQ74" t="n">
        <v>6803624.22717512</v>
      </c>
      <c r="AR74" t="n">
        <v>19466884.3415709</v>
      </c>
      <c r="AS74" t="n">
        <v>248660255.726001</v>
      </c>
      <c r="AT74" t="n">
        <v>49537343.6548041</v>
      </c>
      <c r="AU74" t="n">
        <v>74507484.8312551</v>
      </c>
      <c r="AV74" t="n">
        <v>41785641.025641</v>
      </c>
      <c r="AW74" t="n">
        <v>86498.3379927078</v>
      </c>
      <c r="AX74" t="n">
        <v>405900092.468363</v>
      </c>
      <c r="AY74" t="n">
        <v>21152528.4854692</v>
      </c>
      <c r="AZ74" t="n">
        <v>30463824.8299965</v>
      </c>
      <c r="BA74" t="n">
        <v>104010475.209924</v>
      </c>
      <c r="BB74" t="n">
        <v>298123657.088288</v>
      </c>
      <c r="BC74" t="n">
        <v>172582249.212243</v>
      </c>
      <c r="BD74" t="n">
        <v>164843461.104294</v>
      </c>
      <c r="BE74" t="n">
        <v>8828324.61280788</v>
      </c>
      <c r="BF74" t="n">
        <v>23501293.1082326</v>
      </c>
      <c r="BG74" t="n">
        <v>530793858.438775</v>
      </c>
      <c r="BH74" t="n">
        <v>441422413.576343</v>
      </c>
      <c r="BI74" t="n">
        <v>233923577.62534</v>
      </c>
      <c r="BJ74" t="n">
        <v>89767783.0419866</v>
      </c>
      <c r="BK74" t="n">
        <v>7527311.41777395</v>
      </c>
      <c r="BL74" t="n">
        <v>21464227.2299109</v>
      </c>
      <c r="BM74" t="n">
        <v>100637748.959515</v>
      </c>
      <c r="BN74" t="n">
        <v>95921131.7429037</v>
      </c>
      <c r="BO74" t="n">
        <v>31424386.4363082</v>
      </c>
      <c r="BP74" t="n">
        <v>4816601.20686801</v>
      </c>
      <c r="BQ74" t="n">
        <v>3078329.61747697</v>
      </c>
      <c r="BR74" t="n">
        <v>2597012.87678349</v>
      </c>
      <c r="BS74" t="n">
        <v>224866786.236475</v>
      </c>
      <c r="BT74" t="n">
        <v>6638746.9435437</v>
      </c>
      <c r="BU74" t="n">
        <v>11896802948.711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42107222.5463813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11456093.0806276</v>
      </c>
      <c r="C75" t="n">
        <v>284689.445214956</v>
      </c>
      <c r="D75" t="n">
        <v>12870.8682385244</v>
      </c>
      <c r="E75" t="n">
        <v>4907980.33279667</v>
      </c>
      <c r="F75" t="n">
        <v>104514.699067847</v>
      </c>
      <c r="G75" t="n">
        <v>18422426.4927728</v>
      </c>
      <c r="H75" t="n">
        <v>122907473.604503</v>
      </c>
      <c r="I75" t="n">
        <v>12764476.048591</v>
      </c>
      <c r="J75" t="n">
        <v>20718619.0947103</v>
      </c>
      <c r="K75" t="n">
        <v>14609192.5293287</v>
      </c>
      <c r="L75" t="n">
        <v>49561362.3148186</v>
      </c>
      <c r="M75" t="n">
        <v>30453673.6055412</v>
      </c>
      <c r="N75" t="n">
        <v>17961232.4817477</v>
      </c>
      <c r="O75" t="n">
        <v>3494223.3239023</v>
      </c>
      <c r="P75" t="n">
        <v>5404896.63770741</v>
      </c>
      <c r="Q75" t="n">
        <v>3573864.05786211</v>
      </c>
      <c r="R75" t="n">
        <v>4453386.04108355</v>
      </c>
      <c r="S75" t="n">
        <v>24803359.4529594</v>
      </c>
      <c r="T75" t="n">
        <v>45306883.3122643</v>
      </c>
      <c r="U75" t="n">
        <v>1042198.79825872</v>
      </c>
      <c r="V75" t="n">
        <v>121316.998881739</v>
      </c>
      <c r="W75" t="n">
        <v>31072154.0608061</v>
      </c>
      <c r="X75" t="n">
        <v>20776344.0835437</v>
      </c>
      <c r="Y75" t="n">
        <v>23300280.6154849</v>
      </c>
      <c r="Z75" t="n">
        <v>18117317.8112614</v>
      </c>
      <c r="AA75" t="n">
        <v>19596111.4161976</v>
      </c>
      <c r="AB75" t="n">
        <v>416781372.893917</v>
      </c>
      <c r="AC75" t="n">
        <v>37714068.7912249</v>
      </c>
      <c r="AD75" t="n">
        <v>42646188.8862906</v>
      </c>
      <c r="AE75" t="n">
        <v>46582992.1101881</v>
      </c>
      <c r="AF75" t="n">
        <v>99563645.4121121</v>
      </c>
      <c r="AG75" t="n">
        <v>12057580.1120096</v>
      </c>
      <c r="AH75" t="n">
        <v>3140866.85114628</v>
      </c>
      <c r="AI75" t="n">
        <v>6625814.5315816</v>
      </c>
      <c r="AJ75" t="n">
        <v>139742571.928772</v>
      </c>
      <c r="AK75" t="n">
        <v>40679246.8269321</v>
      </c>
      <c r="AL75" t="n">
        <v>5139700.45543035</v>
      </c>
      <c r="AM75" t="n">
        <v>31294002.1325613</v>
      </c>
      <c r="AN75" t="n">
        <v>8989555.53743929</v>
      </c>
      <c r="AO75" t="n">
        <v>20818359.4047928</v>
      </c>
      <c r="AP75" t="n">
        <v>1078132.13532288</v>
      </c>
      <c r="AQ75" t="n">
        <v>41006056.6561218</v>
      </c>
      <c r="AR75" t="n">
        <v>17188480.1912913</v>
      </c>
      <c r="AS75" t="n">
        <v>109702167.873768</v>
      </c>
      <c r="AT75" t="n">
        <v>57317018.2954964</v>
      </c>
      <c r="AU75" t="n">
        <v>142526251.360247</v>
      </c>
      <c r="AV75" t="n">
        <v>7423574.34489981</v>
      </c>
      <c r="AW75" t="n">
        <v>394164264.992589</v>
      </c>
      <c r="AX75" t="n">
        <v>63226307.4051589</v>
      </c>
      <c r="AY75" t="n">
        <v>47860935.7384802</v>
      </c>
      <c r="AZ75" t="n">
        <v>14202920.5610534</v>
      </c>
      <c r="BA75" t="n">
        <v>38299519.896309</v>
      </c>
      <c r="BB75" t="n">
        <v>146672408.465862</v>
      </c>
      <c r="BC75" t="n">
        <v>259071601.002648</v>
      </c>
      <c r="BD75" t="n">
        <v>212898553.249924</v>
      </c>
      <c r="BE75" t="n">
        <v>73040636.028752</v>
      </c>
      <c r="BF75" t="n">
        <v>37683511.4183519</v>
      </c>
      <c r="BG75" t="n">
        <v>117361277.446418</v>
      </c>
      <c r="BH75" t="n">
        <v>256613038.777072</v>
      </c>
      <c r="BI75" t="n">
        <v>44728810.5189804</v>
      </c>
      <c r="BJ75" t="n">
        <v>19434337.8339227</v>
      </c>
      <c r="BK75" t="n">
        <v>11098169.1455171</v>
      </c>
      <c r="BL75" t="n">
        <v>22817536.3192288</v>
      </c>
      <c r="BM75" t="n">
        <v>23050462.8741266</v>
      </c>
      <c r="BN75" t="n">
        <v>138375759.146883</v>
      </c>
      <c r="BO75" t="n">
        <v>111899332.890975</v>
      </c>
      <c r="BP75" t="n">
        <v>19313466.6707609</v>
      </c>
      <c r="BQ75" t="n">
        <v>86440766.9181079</v>
      </c>
      <c r="BR75" t="n">
        <v>5688527.6859906</v>
      </c>
      <c r="BS75" t="n">
        <v>457899664.21497</v>
      </c>
      <c r="BT75" t="n">
        <v>35825011.9694201</v>
      </c>
      <c r="BU75" t="n">
        <v>12392487209.8989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1429013.01518171</v>
      </c>
      <c r="CB75" t="n">
        <v>-85216616.9316963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8183758539.26677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2544799896.8509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75953.9984702995</v>
      </c>
      <c r="C78" t="n">
        <v>2470.05327491561</v>
      </c>
      <c r="D78" t="n">
        <v>0</v>
      </c>
      <c r="E78" t="n">
        <v>23376.2798852333</v>
      </c>
      <c r="F78" t="n">
        <v>0</v>
      </c>
      <c r="G78" t="n">
        <v>1024122.25175272</v>
      </c>
      <c r="H78" t="n">
        <v>33475.3524229892</v>
      </c>
      <c r="I78" t="n">
        <v>0</v>
      </c>
      <c r="J78" t="n">
        <v>0</v>
      </c>
      <c r="K78" t="n">
        <v>92643.3409912279</v>
      </c>
      <c r="L78" t="n">
        <v>778698.04714325</v>
      </c>
      <c r="M78" t="n">
        <v>1761508.90927616</v>
      </c>
      <c r="N78" t="n">
        <v>442547.339483585</v>
      </c>
      <c r="O78" t="n">
        <v>659370.166143031</v>
      </c>
      <c r="P78" t="n">
        <v>0</v>
      </c>
      <c r="Q78" t="n">
        <v>0</v>
      </c>
      <c r="R78" t="n">
        <v>0</v>
      </c>
      <c r="S78" t="n">
        <v>214759.690534437</v>
      </c>
      <c r="T78" t="n">
        <v>0</v>
      </c>
      <c r="U78" t="n">
        <v>3590.37965065992</v>
      </c>
      <c r="V78" t="n">
        <v>0</v>
      </c>
      <c r="W78" t="n">
        <v>0</v>
      </c>
      <c r="X78" t="n">
        <v>609972.577650131</v>
      </c>
      <c r="Y78" t="n">
        <v>221783.20171791</v>
      </c>
      <c r="Z78" t="n">
        <v>107917.582551962</v>
      </c>
      <c r="AA78" t="n">
        <v>0</v>
      </c>
      <c r="AB78" t="n">
        <v>93123451.2527201</v>
      </c>
      <c r="AC78" t="n">
        <v>3113767.03020937</v>
      </c>
      <c r="AD78" t="n">
        <v>2489869.0812238</v>
      </c>
      <c r="AE78" t="n">
        <v>1511457.98482988</v>
      </c>
      <c r="AF78" t="n">
        <v>14642506.2941943</v>
      </c>
      <c r="AG78" t="n">
        <v>16171.445530143</v>
      </c>
      <c r="AH78" t="n">
        <v>0</v>
      </c>
      <c r="AI78" t="n">
        <v>9635348.36516557</v>
      </c>
      <c r="AJ78" t="n">
        <v>14798370.1343107</v>
      </c>
      <c r="AK78" t="n">
        <v>1508075.42021482</v>
      </c>
      <c r="AL78" t="n">
        <v>219237.839541531</v>
      </c>
      <c r="AM78" t="n">
        <v>2607552.73635584</v>
      </c>
      <c r="AN78" t="n">
        <v>1416896.05707001</v>
      </c>
      <c r="AO78" t="n">
        <v>1561442.31062166</v>
      </c>
      <c r="AP78" t="n">
        <v>279561.621485906</v>
      </c>
      <c r="AQ78" t="n">
        <v>369553.902357626</v>
      </c>
      <c r="AR78" t="n">
        <v>2549131.45648457</v>
      </c>
      <c r="AS78" t="n">
        <v>7995418.99178783</v>
      </c>
      <c r="AT78" t="n">
        <v>9385439.58585554</v>
      </c>
      <c r="AU78" t="n">
        <v>446218.47157524</v>
      </c>
      <c r="AV78" t="n">
        <v>0</v>
      </c>
      <c r="AW78" t="n">
        <v>0</v>
      </c>
      <c r="AX78" t="n">
        <v>1323729.75902248</v>
      </c>
      <c r="AY78" t="n">
        <v>2019332.78071223</v>
      </c>
      <c r="AZ78" t="n">
        <v>916565.732252437</v>
      </c>
      <c r="BA78" t="n">
        <v>1623271.44698079</v>
      </c>
      <c r="BB78" t="n">
        <v>8477575.13921039</v>
      </c>
      <c r="BC78" t="n">
        <v>1877594.0563292</v>
      </c>
      <c r="BD78" t="n">
        <v>3633494.26347683</v>
      </c>
      <c r="BE78" t="n">
        <v>490256.090065891</v>
      </c>
      <c r="BF78" t="n">
        <v>1739433.32111316</v>
      </c>
      <c r="BG78" t="n">
        <v>5231482.03204712</v>
      </c>
      <c r="BH78" t="n">
        <v>16120019.6160696</v>
      </c>
      <c r="BI78" t="n">
        <v>1809785.28103344</v>
      </c>
      <c r="BJ78" t="n">
        <v>2805047.79161419</v>
      </c>
      <c r="BK78" t="n">
        <v>470065.762859481</v>
      </c>
      <c r="BL78" t="n">
        <v>275712.183113829</v>
      </c>
      <c r="BM78" t="n">
        <v>1968075.69315107</v>
      </c>
      <c r="BN78" t="n">
        <v>20307163.0756896</v>
      </c>
      <c r="BO78" t="n">
        <v>2048797.63416169</v>
      </c>
      <c r="BP78" t="n">
        <v>986.563179064534</v>
      </c>
      <c r="BQ78" t="n">
        <v>203146.479508596</v>
      </c>
      <c r="BR78" t="n">
        <v>152593.278661964</v>
      </c>
      <c r="BS78" t="n">
        <v>8902354.58929812</v>
      </c>
      <c r="BT78" t="n">
        <v>248263.133609792</v>
      </c>
      <c r="BU78" t="n">
        <v>29440125.4676426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7271310.45718565</v>
      </c>
      <c r="CB78" t="n">
        <v>-4774212.1268311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35293272545.3496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10334874.6667889</v>
      </c>
      <c r="H80" t="n">
        <v>0</v>
      </c>
      <c r="I80" t="n">
        <v>2330189.55031232</v>
      </c>
      <c r="J80" t="n">
        <v>3542552.9891463</v>
      </c>
      <c r="K80" t="n">
        <v>2384508.17060222</v>
      </c>
      <c r="L80" t="n">
        <v>7819893.05884789</v>
      </c>
      <c r="M80" t="n">
        <v>6870423.06025421</v>
      </c>
      <c r="N80" t="n">
        <v>1975590.13735481</v>
      </c>
      <c r="O80" t="n">
        <v>911466.240542665</v>
      </c>
      <c r="P80" t="n">
        <v>928731.723908364</v>
      </c>
      <c r="Q80" t="n">
        <v>1183032.09670865</v>
      </c>
      <c r="R80" t="n">
        <v>1360469.32561587</v>
      </c>
      <c r="S80" t="n">
        <v>5110614.64706801</v>
      </c>
      <c r="T80" t="n">
        <v>21276019.752127</v>
      </c>
      <c r="U80" t="n">
        <v>446492.389110812</v>
      </c>
      <c r="V80" t="n">
        <v>29088.2628059995</v>
      </c>
      <c r="W80" t="n">
        <v>5884024.81025747</v>
      </c>
      <c r="X80" t="n">
        <v>3043563.30711775</v>
      </c>
      <c r="Y80" t="n">
        <v>7661253.53140069</v>
      </c>
      <c r="Z80" t="n">
        <v>10886261.2837634</v>
      </c>
      <c r="AA80" t="n">
        <v>4034244.8791947</v>
      </c>
      <c r="AB80" t="n">
        <v>32237112.0426408</v>
      </c>
      <c r="AC80" t="n">
        <v>8317128.8769628</v>
      </c>
      <c r="AD80" t="n">
        <v>5627407.78521239</v>
      </c>
      <c r="AE80" t="n">
        <v>3355940.35965134</v>
      </c>
      <c r="AF80" t="n">
        <v>12518144.0352747</v>
      </c>
      <c r="AG80" t="n">
        <v>198622.066900962</v>
      </c>
      <c r="AH80" t="n">
        <v>0</v>
      </c>
      <c r="AI80" t="n">
        <v>0</v>
      </c>
      <c r="AJ80" t="n">
        <v>8544264.72822467</v>
      </c>
      <c r="AK80" t="n">
        <v>132553.003533569</v>
      </c>
      <c r="AL80" t="n">
        <v>851921.14934848</v>
      </c>
      <c r="AM80" t="n">
        <v>1286196.38504857</v>
      </c>
      <c r="AN80" t="n">
        <v>1738282.6768434</v>
      </c>
      <c r="AO80" t="n">
        <v>973746.980772519</v>
      </c>
      <c r="AP80" t="n">
        <v>250739.172172343</v>
      </c>
      <c r="AQ80" t="n">
        <v>864674.650945334</v>
      </c>
      <c r="AR80" t="n">
        <v>804153.504498431</v>
      </c>
      <c r="AS80" t="n">
        <v>10587487.4508336</v>
      </c>
      <c r="AT80" t="n">
        <v>3122576.42547396</v>
      </c>
      <c r="AU80" t="n">
        <v>1748114.73605354</v>
      </c>
      <c r="AV80" t="n">
        <v>0</v>
      </c>
      <c r="AW80" t="n">
        <v>0</v>
      </c>
      <c r="AX80" t="n">
        <v>31869558.2806328</v>
      </c>
      <c r="AY80" t="n">
        <v>8157613.9522014</v>
      </c>
      <c r="AZ80" t="n">
        <v>6887987.56466683</v>
      </c>
      <c r="BA80" t="n">
        <v>3680072.67968074</v>
      </c>
      <c r="BB80" t="n">
        <v>19847572.2188076</v>
      </c>
      <c r="BC80" t="n">
        <v>19184067.3402666</v>
      </c>
      <c r="BD80" t="n">
        <v>19602092.7607362</v>
      </c>
      <c r="BE80" t="n">
        <v>15589049.037486</v>
      </c>
      <c r="BF80" t="n">
        <v>1886091.03925943</v>
      </c>
      <c r="BG80" t="n">
        <v>16305819.0131074</v>
      </c>
      <c r="BH80" t="n">
        <v>20749570.6437677</v>
      </c>
      <c r="BI80" t="n">
        <v>16819247.4528397</v>
      </c>
      <c r="BJ80" t="n">
        <v>5823697.10831563</v>
      </c>
      <c r="BK80" t="n">
        <v>1613989.13948573</v>
      </c>
      <c r="BL80" t="n">
        <v>4057451.32340307</v>
      </c>
      <c r="BM80" t="n">
        <v>9286788.01812574</v>
      </c>
      <c r="BN80" t="n">
        <v>22919602.3109784</v>
      </c>
      <c r="BO80" t="n">
        <v>24206960.5578156</v>
      </c>
      <c r="BP80" t="n">
        <v>6316109.12976088</v>
      </c>
      <c r="BQ80" t="n">
        <v>8018627.60540354</v>
      </c>
      <c r="BR80" t="n">
        <v>2074181.90158945</v>
      </c>
      <c r="BS80" t="n">
        <v>125903773.107944</v>
      </c>
      <c r="BT80" t="n">
        <v>21981135.3649106</v>
      </c>
      <c r="BU80" t="n">
        <v>1880618147.1819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-524749.245657222</v>
      </c>
      <c r="C81" t="n">
        <v>1410710.59445929</v>
      </c>
      <c r="D81" t="n">
        <v>0</v>
      </c>
      <c r="E81" t="n">
        <v>0</v>
      </c>
      <c r="F81" t="n">
        <v>190036.245183328</v>
      </c>
      <c r="G81" t="n">
        <v>81472982.786485</v>
      </c>
      <c r="H81" t="n">
        <v>54542058.9972916</v>
      </c>
      <c r="I81" t="n">
        <v>0</v>
      </c>
      <c r="J81" t="n">
        <v>1567681.49519693</v>
      </c>
      <c r="K81" t="n">
        <v>319787645.763764</v>
      </c>
      <c r="L81" t="n">
        <v>16815709.8859436</v>
      </c>
      <c r="M81" t="n">
        <v>209099.832268606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5165567.49273541</v>
      </c>
      <c r="T81" t="n">
        <v>20899.8229392211</v>
      </c>
      <c r="U81" t="n">
        <v>165367.551522523</v>
      </c>
      <c r="V81" t="n">
        <v>0</v>
      </c>
      <c r="W81" t="n">
        <v>45686183.7489769</v>
      </c>
      <c r="X81" t="n">
        <v>0</v>
      </c>
      <c r="Y81" t="n">
        <v>0</v>
      </c>
      <c r="Z81" t="n">
        <v>293342.369921767</v>
      </c>
      <c r="AA81" t="n">
        <v>993044.893340234</v>
      </c>
      <c r="AB81" t="n">
        <v>0</v>
      </c>
      <c r="AC81" t="n">
        <v>715451.946405402</v>
      </c>
      <c r="AD81" t="n">
        <v>0</v>
      </c>
      <c r="AE81" t="n">
        <v>0</v>
      </c>
      <c r="AF81" t="n">
        <v>3490188.85741859</v>
      </c>
      <c r="AG81" t="n">
        <v>-6206939.59065507</v>
      </c>
      <c r="AH81" t="n">
        <v>0</v>
      </c>
      <c r="AI81" t="n">
        <v>-2900831.23912623</v>
      </c>
      <c r="AJ81" t="n">
        <v>6618219.44176635</v>
      </c>
      <c r="AK81" t="n">
        <v>66276.5017667845</v>
      </c>
      <c r="AL81" t="n">
        <v>1634012.69629135</v>
      </c>
      <c r="AM81" t="n">
        <v>21007874.2891267</v>
      </c>
      <c r="AN81" t="n">
        <v>0</v>
      </c>
      <c r="AO81" t="n">
        <v>0</v>
      </c>
      <c r="AP81" t="n">
        <v>444973.742165003</v>
      </c>
      <c r="AQ81" t="n">
        <v>11377.2980387544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67015.4992339174</v>
      </c>
      <c r="AZ81" t="n">
        <v>0</v>
      </c>
      <c r="BA81" t="n">
        <v>0</v>
      </c>
      <c r="BB81" t="n">
        <v>0</v>
      </c>
      <c r="BC81" t="n">
        <v>8774108.3184165</v>
      </c>
      <c r="BD81" t="n">
        <v>0</v>
      </c>
      <c r="BE81" t="n">
        <v>0</v>
      </c>
      <c r="BF81" t="n">
        <v>4116468.53806622</v>
      </c>
      <c r="BG81" t="n">
        <v>0</v>
      </c>
      <c r="BH81" t="n">
        <v>0</v>
      </c>
      <c r="BI81" t="n">
        <v>0</v>
      </c>
      <c r="BJ81" t="n">
        <v>0</v>
      </c>
      <c r="BK81" t="n">
        <v>-1920090.52800888</v>
      </c>
      <c r="BL81" t="n">
        <v>8192334.92397031</v>
      </c>
      <c r="BM81" t="n">
        <v>0</v>
      </c>
      <c r="BN81" t="n">
        <v>0</v>
      </c>
      <c r="BO81" t="n">
        <v>486157946.612425</v>
      </c>
      <c r="BP81" t="n">
        <v>-340797.255202925</v>
      </c>
      <c r="BQ81" t="n">
        <v>0</v>
      </c>
      <c r="BR81" t="n">
        <v>0</v>
      </c>
      <c r="BS81" t="n">
        <v>0</v>
      </c>
      <c r="BT81" t="n">
        <v>0</v>
      </c>
      <c r="BU81" t="n">
        <v>1428610835.69982</v>
      </c>
      <c r="BV81" t="n">
        <v>-76478741.5928567</v>
      </c>
      <c r="BW81" t="n">
        <v>-3275016671.18275</v>
      </c>
      <c r="BX81" t="n">
        <v>0</v>
      </c>
      <c r="BY81" t="n">
        <v>-16549304.4655722</v>
      </c>
      <c r="BZ81" t="n">
        <v>65339831.8606962</v>
      </c>
      <c r="CA81" t="n">
        <v>638335474.764608</v>
      </c>
      <c r="CB81" t="n">
        <v>-314660063.436913</v>
      </c>
      <c r="CC81" t="n">
        <v>0</v>
      </c>
      <c r="CD81" t="n">
        <v>-101262.815746914</v>
      </c>
      <c r="CE81" t="n">
        <v>0</v>
      </c>
      <c r="CF81" t="n">
        <v>0</v>
      </c>
      <c r="CG81" t="n">
        <v>0</v>
      </c>
      <c r="CH81" t="n">
        <v>-13999584.2770108</v>
      </c>
      <c r="CI81" t="n">
        <v>835418.22991204</v>
      </c>
      <c r="CJ81" t="n">
        <v>0</v>
      </c>
      <c r="CK81" t="n">
        <v>0</v>
      </c>
      <c r="CL81" t="n">
        <v>87903016.6929957</v>
      </c>
      <c r="CM81" t="n">
        <v>-365087673.230014</v>
      </c>
      <c r="CN81" t="n">
        <v>0</v>
      </c>
    </row>
    <row r="82">
      <c r="A82" t="s">
        <v>193</v>
      </c>
      <c r="B82" t="n">
        <v>27199502.566566</v>
      </c>
      <c r="C82" t="n">
        <v>204780.570163445</v>
      </c>
      <c r="D82" t="n">
        <v>116273.713352846</v>
      </c>
      <c r="E82" t="n">
        <v>717784.476750386</v>
      </c>
      <c r="F82" t="n">
        <v>74609.3004857078</v>
      </c>
      <c r="G82" t="n">
        <v>26063314.3946897</v>
      </c>
      <c r="H82" t="n">
        <v>29236856.3600323</v>
      </c>
      <c r="I82" t="n">
        <v>7025347.59944907</v>
      </c>
      <c r="J82" t="n">
        <v>6026411.98153624</v>
      </c>
      <c r="K82" t="n">
        <v>7856326.91998415</v>
      </c>
      <c r="L82" t="n">
        <v>21284220.2052852</v>
      </c>
      <c r="M82" t="n">
        <v>40654981.673939</v>
      </c>
      <c r="N82" t="n">
        <v>79556701.2455423</v>
      </c>
      <c r="O82" t="n">
        <v>7001717.93871411</v>
      </c>
      <c r="P82" t="n">
        <v>13538978.7024304</v>
      </c>
      <c r="Q82" t="n">
        <v>3511658.56554657</v>
      </c>
      <c r="R82" t="n">
        <v>3386700.23610759</v>
      </c>
      <c r="S82" t="n">
        <v>24234204.9393225</v>
      </c>
      <c r="T82" t="n">
        <v>46230408.341557</v>
      </c>
      <c r="U82" t="n">
        <v>802032.624884236</v>
      </c>
      <c r="V82" t="n">
        <v>218161.971044996</v>
      </c>
      <c r="W82" t="n">
        <v>15036952.2928802</v>
      </c>
      <c r="X82" t="n">
        <v>14339865.5816125</v>
      </c>
      <c r="Y82" t="n">
        <v>125304057.75802</v>
      </c>
      <c r="Z82" t="n">
        <v>19385041.6123301</v>
      </c>
      <c r="AA82" t="n">
        <v>13737121.0245399</v>
      </c>
      <c r="AB82" t="n">
        <v>156626776.692022</v>
      </c>
      <c r="AC82" t="n">
        <v>2021151.74859526</v>
      </c>
      <c r="AD82" t="n">
        <v>8212973.52436402</v>
      </c>
      <c r="AE82" t="n">
        <v>17855323.7084014</v>
      </c>
      <c r="AF82" t="n">
        <v>52895751.1279884</v>
      </c>
      <c r="AG82" t="n">
        <v>419117388.919393</v>
      </c>
      <c r="AH82" t="n">
        <v>3579461.30862166</v>
      </c>
      <c r="AI82" t="n">
        <v>29626522.3274696</v>
      </c>
      <c r="AJ82" t="n">
        <v>20346414.5686501</v>
      </c>
      <c r="AK82" t="n">
        <v>347951.634275618</v>
      </c>
      <c r="AL82" t="n">
        <v>1487370.53123956</v>
      </c>
      <c r="AM82" t="n">
        <v>6288071.21579302</v>
      </c>
      <c r="AN82" t="n">
        <v>921499.250374813</v>
      </c>
      <c r="AO82" t="n">
        <v>12322325.4294122</v>
      </c>
      <c r="AP82" t="n">
        <v>1822273.42029477</v>
      </c>
      <c r="AQ82" t="n">
        <v>69799723.4677582</v>
      </c>
      <c r="AR82" t="n">
        <v>6568580.60605154</v>
      </c>
      <c r="AS82" t="n">
        <v>77531490.6720678</v>
      </c>
      <c r="AT82" t="n">
        <v>547185598.322761</v>
      </c>
      <c r="AU82" t="n">
        <v>34253599.5578059</v>
      </c>
      <c r="AV82" t="n">
        <v>7052877.49287749</v>
      </c>
      <c r="AW82" t="n">
        <v>497365.44345807</v>
      </c>
      <c r="AX82" t="n">
        <v>10291839.0792844</v>
      </c>
      <c r="AY82" t="n">
        <v>9388262.21086061</v>
      </c>
      <c r="AZ82" t="n">
        <v>3133590.90924757</v>
      </c>
      <c r="BA82" t="n">
        <v>32442745.9919223</v>
      </c>
      <c r="BB82" t="n">
        <v>54621830.9823383</v>
      </c>
      <c r="BC82" t="n">
        <v>70230044.97241</v>
      </c>
      <c r="BD82" t="n">
        <v>20066797.5460123</v>
      </c>
      <c r="BE82" t="n">
        <v>1837866.83389309</v>
      </c>
      <c r="BF82" t="n">
        <v>6481566.82539154</v>
      </c>
      <c r="BG82" t="n">
        <v>0</v>
      </c>
      <c r="BH82" t="n">
        <v>0</v>
      </c>
      <c r="BI82" t="n">
        <v>9646333.09795218</v>
      </c>
      <c r="BJ82" t="n">
        <v>0</v>
      </c>
      <c r="BK82" t="n">
        <v>4828053.71897886</v>
      </c>
      <c r="BL82" t="n">
        <v>3608344.11585082</v>
      </c>
      <c r="BM82" t="n">
        <v>7943561.82099035</v>
      </c>
      <c r="BN82" t="n">
        <v>29966081.9858746</v>
      </c>
      <c r="BO82" t="n">
        <v>73442667.7883247</v>
      </c>
      <c r="BP82" t="n">
        <v>40064125.3216559</v>
      </c>
      <c r="BQ82" t="n">
        <v>17627881.4569198</v>
      </c>
      <c r="BR82" t="n">
        <v>34283.9983733794</v>
      </c>
      <c r="BS82" t="n">
        <v>0</v>
      </c>
      <c r="BT82" t="n">
        <v>0</v>
      </c>
      <c r="BU82" t="n">
        <v>-1290950712.19074</v>
      </c>
      <c r="BV82" t="n">
        <v>0</v>
      </c>
      <c r="BW82" t="n">
        <v>0</v>
      </c>
      <c r="BX82" t="n">
        <v>90052396.897581</v>
      </c>
      <c r="BY82" t="n">
        <v>0</v>
      </c>
      <c r="BZ82" t="n">
        <v>0</v>
      </c>
      <c r="CA82" t="n">
        <v>1938531299.09212</v>
      </c>
      <c r="CB82" t="n">
        <v>-4751955970.83911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226</v>
      </c>
    </row>
    <row r="2">
      <c r="A2" t="s">
        <v>227</v>
      </c>
    </row>
    <row r="3">
      <c r="A3" t="s">
        <v>228</v>
      </c>
    </row>
    <row r="4">
      <c r="A4" t="s">
        <v>64</v>
      </c>
    </row>
    <row r="5">
      <c r="A5" t="s">
        <v>1</v>
      </c>
    </row>
    <row r="6">
      <c r="A6" t="s">
        <v>229</v>
      </c>
    </row>
    <row r="7">
      <c r="A7" t="s">
        <v>1</v>
      </c>
    </row>
    <row r="9">
      <c r="A9" t="s">
        <v>230</v>
      </c>
      <c r="B9" t="s">
        <v>231</v>
      </c>
      <c r="C9" t="s">
        <v>232</v>
      </c>
      <c r="D9" t="s">
        <v>233</v>
      </c>
      <c r="E9" t="s">
        <v>234</v>
      </c>
    </row>
    <row r="10">
      <c r="A10" t="s">
        <v>235</v>
      </c>
      <c r="B10" t="n">
        <v>12031000</v>
      </c>
      <c r="C10" t="s">
        <v>236</v>
      </c>
      <c r="D10" t="n">
        <v>600000000</v>
      </c>
      <c r="E10" t="s">
        <v>237</v>
      </c>
    </row>
    <row r="11">
      <c r="A11" t="s">
        <v>238</v>
      </c>
      <c r="B11" t="n">
        <v>1000000</v>
      </c>
      <c r="C11" t="s">
        <v>236</v>
      </c>
      <c r="D11" t="n">
        <v>40000000</v>
      </c>
      <c r="E11" t="s">
        <v>239</v>
      </c>
    </row>
    <row r="12">
      <c r="A12" t="s">
        <v>240</v>
      </c>
      <c r="B12" t="n">
        <v>4220000</v>
      </c>
      <c r="C12" t="s">
        <v>236</v>
      </c>
      <c r="D12" t="n">
        <v>125000000</v>
      </c>
      <c r="E12" t="s">
        <v>241</v>
      </c>
    </row>
    <row r="13">
      <c r="A13" t="s">
        <v>242</v>
      </c>
      <c r="B13" t="n">
        <v>0</v>
      </c>
      <c r="C13" t="s">
        <v>236</v>
      </c>
      <c r="D13" t="n">
        <v>0</v>
      </c>
      <c r="E13"/>
    </row>
    <row r="14">
      <c r="A14" t="s">
        <v>243</v>
      </c>
      <c r="B14" t="n">
        <v>0</v>
      </c>
      <c r="C14" t="s">
        <v>236</v>
      </c>
      <c r="D14" t="n">
        <v>0</v>
      </c>
      <c r="E14"/>
    </row>
    <row r="15">
      <c r="A15" t="s">
        <v>244</v>
      </c>
      <c r="B15" t="n">
        <v>10710000</v>
      </c>
      <c r="C15" t="s">
        <v>236</v>
      </c>
      <c r="D15" t="n">
        <v>330000000</v>
      </c>
      <c r="E15" t="s">
        <v>245</v>
      </c>
    </row>
    <row r="16">
      <c r="A16" t="s">
        <v>246</v>
      </c>
      <c r="B16" t="n">
        <v>0</v>
      </c>
      <c r="C16" t="s">
        <v>236</v>
      </c>
      <c r="D16" t="n">
        <v>0</v>
      </c>
      <c r="E16"/>
    </row>
    <row r="17">
      <c r="A17" t="s">
        <v>247</v>
      </c>
      <c r="B17" t="n">
        <v>0</v>
      </c>
      <c r="C17" t="s">
        <v>236</v>
      </c>
      <c r="D17" t="n">
        <v>0</v>
      </c>
      <c r="E17"/>
    </row>
    <row r="18">
      <c r="A18" t="s">
        <v>248</v>
      </c>
      <c r="B18" t="n">
        <v>0</v>
      </c>
      <c r="C18" t="s">
        <v>236</v>
      </c>
      <c r="D18" t="n">
        <v>0</v>
      </c>
      <c r="E18"/>
    </row>
    <row r="19">
      <c r="A19" t="s">
        <v>249</v>
      </c>
      <c r="B19" t="n">
        <v>0</v>
      </c>
      <c r="C19" t="s">
        <v>236</v>
      </c>
      <c r="D19" t="n">
        <v>0</v>
      </c>
      <c r="E19"/>
    </row>
    <row r="20">
      <c r="A20" t="s">
        <v>250</v>
      </c>
      <c r="B20" t="n">
        <v>0</v>
      </c>
      <c r="C20" t="s">
        <v>236</v>
      </c>
      <c r="D20" t="n">
        <v>0</v>
      </c>
      <c r="E20"/>
    </row>
    <row r="21">
      <c r="A21" t="s">
        <v>251</v>
      </c>
      <c r="B21" t="n">
        <v>0</v>
      </c>
      <c r="C21" t="s">
        <v>236</v>
      </c>
      <c r="D21" t="n">
        <v>0</v>
      </c>
      <c r="E21"/>
    </row>
    <row r="22">
      <c r="A22" t="s">
        <v>252</v>
      </c>
      <c r="B22" t="n">
        <v>0</v>
      </c>
      <c r="C22" t="s">
        <v>236</v>
      </c>
      <c r="D22" t="n">
        <v>0</v>
      </c>
      <c r="E22"/>
    </row>
    <row r="23">
      <c r="A23" t="s">
        <v>253</v>
      </c>
      <c r="B23" t="n">
        <v>45919000</v>
      </c>
      <c r="C23" t="s">
        <v>236</v>
      </c>
      <c r="D23" t="n">
        <v>1950000000</v>
      </c>
      <c r="E23" t="s">
        <v>254</v>
      </c>
    </row>
    <row r="24">
      <c r="A24" t="s">
        <v>255</v>
      </c>
      <c r="B24" t="n">
        <v>28820000</v>
      </c>
      <c r="C24" t="s">
        <v>236</v>
      </c>
      <c r="D24" t="n">
        <v>1210000000</v>
      </c>
      <c r="E24" t="s">
        <v>254</v>
      </c>
    </row>
    <row r="25">
      <c r="A25" t="s">
        <v>256</v>
      </c>
      <c r="B25" t="n">
        <v>0</v>
      </c>
      <c r="C25" t="s">
        <v>236</v>
      </c>
      <c r="D25" t="n">
        <v>0</v>
      </c>
      <c r="E25"/>
    </row>
    <row r="26">
      <c r="A26" t="s">
        <v>257</v>
      </c>
      <c r="B26" t="n">
        <v>0</v>
      </c>
      <c r="C26" t="s">
        <v>236</v>
      </c>
      <c r="D26" t="n">
        <v>0</v>
      </c>
      <c r="E26"/>
    </row>
    <row r="27">
      <c r="A27" t="s">
        <v>258</v>
      </c>
      <c r="B27" t="n">
        <v>36140000</v>
      </c>
      <c r="C27" t="s">
        <v>236</v>
      </c>
      <c r="D27" t="n">
        <v>1730000000</v>
      </c>
      <c r="E27" t="s">
        <v>259</v>
      </c>
    </row>
    <row r="28">
      <c r="A28" t="s">
        <v>260</v>
      </c>
      <c r="B28" t="n">
        <v>2720000</v>
      </c>
      <c r="C28" t="s">
        <v>236</v>
      </c>
      <c r="D28" t="n">
        <v>60000000</v>
      </c>
      <c r="E28" t="s">
        <v>261</v>
      </c>
    </row>
    <row r="29">
      <c r="A29" t="s">
        <v>262</v>
      </c>
      <c r="B29" t="n">
        <v>0</v>
      </c>
      <c r="C29" t="s">
        <v>236</v>
      </c>
      <c r="D29" t="n">
        <v>0</v>
      </c>
      <c r="E29"/>
    </row>
    <row r="30">
      <c r="A30" t="s">
        <v>263</v>
      </c>
      <c r="B30" t="n">
        <v>1320000</v>
      </c>
      <c r="C30" t="s">
        <v>236</v>
      </c>
      <c r="D30" t="n">
        <v>70000000</v>
      </c>
      <c r="E30" t="s">
        <v>264</v>
      </c>
    </row>
    <row r="31">
      <c r="A31" t="s">
        <v>265</v>
      </c>
      <c r="B31" t="n">
        <v>0</v>
      </c>
      <c r="C31" t="s">
        <v>236</v>
      </c>
      <c r="D31" t="n">
        <v>0</v>
      </c>
      <c r="E31"/>
    </row>
    <row r="32">
      <c r="A32" t="s">
        <v>266</v>
      </c>
      <c r="B32" t="n">
        <v>0</v>
      </c>
      <c r="C32" t="s">
        <v>236</v>
      </c>
      <c r="D32" t="n">
        <v>0</v>
      </c>
      <c r="E32"/>
    </row>
    <row r="33">
      <c r="A33" t="s">
        <v>267</v>
      </c>
      <c r="B33" t="n">
        <v>0</v>
      </c>
      <c r="C33" t="s">
        <v>236</v>
      </c>
      <c r="D33" t="n">
        <v>0</v>
      </c>
      <c r="E33"/>
    </row>
    <row r="34">
      <c r="A34" t="s">
        <v>268</v>
      </c>
      <c r="B34" t="n">
        <v>2800000</v>
      </c>
      <c r="C34" t="s">
        <v>236</v>
      </c>
      <c r="D34" t="n">
        <v>65000000</v>
      </c>
      <c r="E34" t="s">
        <v>269</v>
      </c>
    </row>
    <row r="35">
      <c r="A35" t="s">
        <v>270</v>
      </c>
      <c r="B35" t="n">
        <v>264000</v>
      </c>
      <c r="C35" t="s">
        <v>236</v>
      </c>
      <c r="D35" t="n">
        <v>12000000</v>
      </c>
      <c r="E35"/>
    </row>
    <row r="36">
      <c r="A36" t="s">
        <v>271</v>
      </c>
      <c r="B36" t="n">
        <v>38660000</v>
      </c>
      <c r="C36" t="s">
        <v>236</v>
      </c>
      <c r="D36" t="n">
        <v>590000000</v>
      </c>
      <c r="E36" t="s">
        <v>272</v>
      </c>
    </row>
    <row r="37">
      <c r="A37" t="s">
        <v>273</v>
      </c>
      <c r="B37" t="n">
        <v>0</v>
      </c>
      <c r="C37" t="s">
        <v>236</v>
      </c>
      <c r="D37" t="n">
        <v>0</v>
      </c>
      <c r="E37"/>
    </row>
    <row r="38">
      <c r="A38" t="s">
        <v>274</v>
      </c>
      <c r="B38" t="n">
        <v>0</v>
      </c>
      <c r="C38" t="s">
        <v>236</v>
      </c>
      <c r="D38" t="n">
        <v>0</v>
      </c>
      <c r="E38"/>
    </row>
    <row r="39">
      <c r="A39" t="s">
        <v>275</v>
      </c>
      <c r="B39" t="n">
        <v>0</v>
      </c>
      <c r="C39" t="s">
        <v>236</v>
      </c>
      <c r="D39" t="n">
        <v>0</v>
      </c>
      <c r="E39"/>
    </row>
    <row r="40">
      <c r="A40" t="s">
        <v>276</v>
      </c>
      <c r="B40" t="n">
        <v>0</v>
      </c>
      <c r="C40" t="s">
        <v>236</v>
      </c>
      <c r="D40" t="n">
        <v>0</v>
      </c>
      <c r="E40"/>
    </row>
    <row r="41">
      <c r="A41" t="s">
        <v>277</v>
      </c>
      <c r="B41" t="n">
        <v>10720000</v>
      </c>
      <c r="C41" t="s">
        <v>236</v>
      </c>
      <c r="D41" t="n">
        <v>260000000</v>
      </c>
      <c r="E41" t="s">
        <v>278</v>
      </c>
    </row>
    <row r="42">
      <c r="A42" t="s">
        <v>279</v>
      </c>
      <c r="B42" t="n">
        <v>0</v>
      </c>
      <c r="C42" t="s">
        <v>236</v>
      </c>
      <c r="D42" t="n">
        <v>0</v>
      </c>
      <c r="E42"/>
    </row>
    <row r="43">
      <c r="A43" t="s">
        <v>280</v>
      </c>
      <c r="B43" t="n">
        <v>0</v>
      </c>
      <c r="C43" t="s">
        <v>236</v>
      </c>
      <c r="D43" t="n">
        <v>0</v>
      </c>
      <c r="E43"/>
    </row>
    <row r="44">
      <c r="A44" t="s">
        <v>281</v>
      </c>
      <c r="B44" t="n">
        <v>27870000</v>
      </c>
      <c r="C44" t="s">
        <v>236</v>
      </c>
      <c r="D44" t="n">
        <v>560000000</v>
      </c>
      <c r="E44" t="s">
        <v>282</v>
      </c>
    </row>
    <row r="45">
      <c r="A45" t="s">
        <v>283</v>
      </c>
      <c r="B45" t="n">
        <v>8220000</v>
      </c>
      <c r="C45" t="s">
        <v>236</v>
      </c>
      <c r="D45" t="n">
        <v>430000000</v>
      </c>
      <c r="E45" t="s">
        <v>284</v>
      </c>
    </row>
    <row r="46">
      <c r="A46" t="s">
        <v>285</v>
      </c>
      <c r="B46" t="n">
        <v>930000</v>
      </c>
      <c r="C46" t="s">
        <v>236</v>
      </c>
      <c r="D46" t="n">
        <v>40000000</v>
      </c>
      <c r="E46"/>
    </row>
    <row r="47">
      <c r="A47" t="s">
        <v>286</v>
      </c>
      <c r="B47" t="n">
        <v>0</v>
      </c>
      <c r="C47" t="s">
        <v>236</v>
      </c>
      <c r="D47" t="n">
        <v>0</v>
      </c>
      <c r="E47"/>
    </row>
    <row r="48">
      <c r="A48" t="s">
        <v>287</v>
      </c>
      <c r="B48" t="n">
        <v>50110000</v>
      </c>
      <c r="C48" t="s">
        <v>236</v>
      </c>
      <c r="D48" t="n">
        <v>3000000000</v>
      </c>
      <c r="E48" t="s">
        <v>288</v>
      </c>
    </row>
    <row r="49">
      <c r="A49" t="s">
        <v>289</v>
      </c>
      <c r="B49" t="n">
        <v>0</v>
      </c>
      <c r="C49" t="s">
        <v>236</v>
      </c>
      <c r="D49" t="n">
        <v>0</v>
      </c>
      <c r="E49"/>
    </row>
    <row r="50">
      <c r="A50" t="s">
        <v>290</v>
      </c>
      <c r="B50" t="n">
        <v>0</v>
      </c>
      <c r="C50" t="s">
        <v>236</v>
      </c>
      <c r="D50" t="n">
        <v>0</v>
      </c>
      <c r="E50"/>
    </row>
    <row r="51">
      <c r="A51" t="s">
        <v>291</v>
      </c>
      <c r="B51" t="n">
        <v>0</v>
      </c>
      <c r="C51" t="s">
        <v>236</v>
      </c>
      <c r="D51" t="n">
        <v>0</v>
      </c>
      <c r="E51"/>
    </row>
    <row r="52">
      <c r="A52" t="s">
        <v>292</v>
      </c>
      <c r="B52" t="n">
        <v>400000</v>
      </c>
      <c r="C52" t="s">
        <v>236</v>
      </c>
      <c r="D52" t="n">
        <v>22000000</v>
      </c>
      <c r="E52" t="s">
        <v>293</v>
      </c>
    </row>
    <row r="53">
      <c r="A53" t="s">
        <v>294</v>
      </c>
      <c r="B53" t="n">
        <v>22820000</v>
      </c>
      <c r="C53" t="s">
        <v>236</v>
      </c>
      <c r="D53" t="n">
        <v>500000000</v>
      </c>
      <c r="E53" t="s">
        <v>261</v>
      </c>
    </row>
    <row r="54">
      <c r="A54" t="s">
        <v>295</v>
      </c>
      <c r="B54" t="n">
        <v>12810000</v>
      </c>
      <c r="C54" t="s">
        <v>236</v>
      </c>
      <c r="D54" t="n">
        <v>380000000</v>
      </c>
      <c r="E54" t="s">
        <v>296</v>
      </c>
    </row>
    <row r="55">
      <c r="A55" t="s">
        <v>297</v>
      </c>
      <c r="B55" t="n">
        <v>0</v>
      </c>
      <c r="C55" t="s">
        <v>236</v>
      </c>
      <c r="D55" t="n">
        <v>0</v>
      </c>
      <c r="E55"/>
    </row>
    <row r="56">
      <c r="A56" t="s">
        <v>298</v>
      </c>
      <c r="B56" t="n">
        <v>11480000</v>
      </c>
      <c r="C56" t="s">
        <v>236</v>
      </c>
      <c r="D56" t="n">
        <v>620000000</v>
      </c>
      <c r="E56" t="s">
        <v>299</v>
      </c>
    </row>
    <row r="57">
      <c r="A57" t="s">
        <v>300</v>
      </c>
      <c r="B57" t="n">
        <v>3050000</v>
      </c>
      <c r="C57" t="s">
        <v>236</v>
      </c>
      <c r="D57" t="n">
        <v>90000000</v>
      </c>
      <c r="E57" t="s">
        <v>301</v>
      </c>
    </row>
    <row r="58">
      <c r="A58" t="s">
        <v>302</v>
      </c>
      <c r="B58" t="n">
        <v>93320000</v>
      </c>
      <c r="C58" t="s">
        <v>236</v>
      </c>
      <c r="D58" t="n">
        <v>5050000000</v>
      </c>
      <c r="E58" t="s">
        <v>303</v>
      </c>
    </row>
    <row r="59">
      <c r="A59" t="s">
        <v>304</v>
      </c>
      <c r="B59" t="n">
        <v>0</v>
      </c>
      <c r="C59" t="s">
        <v>236</v>
      </c>
      <c r="D59" t="n">
        <v>0</v>
      </c>
      <c r="E59"/>
    </row>
    <row r="60">
      <c r="A60" t="s">
        <v>305</v>
      </c>
      <c r="B60" t="n">
        <v>276040000</v>
      </c>
      <c r="C60" t="s">
        <v>236</v>
      </c>
      <c r="D60" t="n">
        <v>3690000000</v>
      </c>
      <c r="E60" t="s">
        <v>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307</v>
      </c>
    </row>
    <row r="2">
      <c r="A2" t="s">
        <v>308</v>
      </c>
    </row>
    <row r="3">
      <c r="A3" t="s">
        <v>309</v>
      </c>
    </row>
    <row r="4">
      <c r="A4" t="s">
        <v>1</v>
      </c>
    </row>
    <row r="5">
      <c r="A5" t="s">
        <v>310</v>
      </c>
    </row>
    <row r="6">
      <c r="A6" t="s">
        <v>311</v>
      </c>
    </row>
    <row r="7">
      <c r="A7" t="s">
        <v>312</v>
      </c>
    </row>
    <row r="8">
      <c r="A8" t="s">
        <v>313</v>
      </c>
    </row>
    <row r="9">
      <c r="A9" t="s">
        <v>314</v>
      </c>
    </row>
    <row r="10">
      <c r="A10" t="s">
        <v>315</v>
      </c>
    </row>
    <row r="11">
      <c r="A11" t="s">
        <v>316</v>
      </c>
    </row>
    <row r="12">
      <c r="A12" t="s">
        <v>317</v>
      </c>
    </row>
    <row r="13">
      <c r="A13" t="s">
        <v>1</v>
      </c>
    </row>
    <row r="14">
      <c r="A14" t="s">
        <v>318</v>
      </c>
    </row>
    <row r="15">
      <c r="A15" t="s">
        <v>1</v>
      </c>
    </row>
    <row r="17">
      <c r="A17" t="s">
        <v>319</v>
      </c>
    </row>
    <row r="18">
      <c r="A18" t="s">
        <v>320</v>
      </c>
    </row>
    <row r="20">
      <c r="A20" t="s">
        <v>321</v>
      </c>
    </row>
    <row r="21">
      <c r="A21" t="s">
        <v>322</v>
      </c>
    </row>
    <row r="23">
      <c r="A23" t="s">
        <v>323</v>
      </c>
    </row>
    <row r="25">
      <c r="A25" t="s">
        <v>230</v>
      </c>
      <c r="B25" t="s">
        <v>324</v>
      </c>
      <c r="C25" t="s">
        <v>325</v>
      </c>
      <c r="D25" t="s">
        <v>326</v>
      </c>
      <c r="E25" t="s">
        <v>327</v>
      </c>
    </row>
    <row r="26">
      <c r="A26" t="s">
        <v>238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235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242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240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243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244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246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248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247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249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250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251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256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252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253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255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257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258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260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265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263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262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266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267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270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268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271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280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281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273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275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276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277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274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279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283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285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286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287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289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290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291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292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294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295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298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297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300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304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302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305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5.71" hidden="0" customWidth="1"/>
  </cols>
  <sheetData>
    <row r="1">
      <c r="A1" t="s">
        <v>328</v>
      </c>
    </row>
    <row r="2">
      <c r="A2" t="s">
        <v>1</v>
      </c>
    </row>
    <row r="3">
      <c r="A3" t="s">
        <v>329</v>
      </c>
    </row>
    <row r="4">
      <c r="A4" t="s">
        <v>330</v>
      </c>
    </row>
    <row r="5">
      <c r="A5" t="s">
        <v>331</v>
      </c>
    </row>
    <row r="6">
      <c r="A6" t="s">
        <v>1</v>
      </c>
    </row>
    <row r="8">
      <c r="A8" t="s">
        <v>332</v>
      </c>
      <c r="B8" t="s">
        <v>333</v>
      </c>
      <c r="C8" t="s">
        <v>334</v>
      </c>
      <c r="D8" t="s">
        <v>335</v>
      </c>
      <c r="E8" t="s">
        <v>336</v>
      </c>
      <c r="F8" t="s">
        <v>337</v>
      </c>
      <c r="G8" t="s">
        <v>338</v>
      </c>
    </row>
    <row r="9">
      <c r="A9" t="s">
        <v>121</v>
      </c>
      <c r="B9" t="s">
        <v>339</v>
      </c>
      <c r="C9" t="s">
        <v>340</v>
      </c>
      <c r="D9" t="s">
        <v>341</v>
      </c>
      <c r="E9" t="n">
        <v>1</v>
      </c>
      <c r="F9"/>
      <c r="G9"/>
    </row>
    <row r="10">
      <c r="A10" t="s">
        <v>122</v>
      </c>
      <c r="B10" t="s">
        <v>342</v>
      </c>
      <c r="C10" t="s">
        <v>340</v>
      </c>
      <c r="D10" t="s">
        <v>341</v>
      </c>
      <c r="E10" t="n">
        <v>1</v>
      </c>
      <c r="F10"/>
      <c r="G10"/>
    </row>
    <row r="11">
      <c r="A11" t="s">
        <v>123</v>
      </c>
      <c r="B11" t="s">
        <v>343</v>
      </c>
      <c r="C11" t="s">
        <v>344</v>
      </c>
      <c r="D11" t="s">
        <v>345</v>
      </c>
      <c r="E11" t="n">
        <v>1</v>
      </c>
      <c r="F11"/>
      <c r="G11"/>
    </row>
    <row r="12">
      <c r="A12" t="s">
        <v>125</v>
      </c>
      <c r="B12" t="s">
        <v>346</v>
      </c>
      <c r="C12" t="s">
        <v>347</v>
      </c>
      <c r="D12" t="s">
        <v>348</v>
      </c>
      <c r="E12" t="n">
        <v>1</v>
      </c>
      <c r="F12"/>
      <c r="G12"/>
    </row>
    <row r="13">
      <c r="A13" t="s">
        <v>126</v>
      </c>
      <c r="B13" t="s">
        <v>349</v>
      </c>
      <c r="C13" t="s">
        <v>350</v>
      </c>
      <c r="D13" t="s">
        <v>351</v>
      </c>
      <c r="E13" t="n">
        <v>0.72</v>
      </c>
      <c r="F13" t="s">
        <v>352</v>
      </c>
      <c r="G13"/>
    </row>
    <row r="14">
      <c r="A14" t="s">
        <v>126</v>
      </c>
      <c r="B14" t="s">
        <v>349</v>
      </c>
      <c r="C14" t="s">
        <v>353</v>
      </c>
      <c r="D14" t="s">
        <v>354</v>
      </c>
      <c r="E14" t="n">
        <v>0.2</v>
      </c>
      <c r="F14" t="s">
        <v>355</v>
      </c>
      <c r="G14"/>
    </row>
    <row r="15">
      <c r="A15" t="s">
        <v>126</v>
      </c>
      <c r="B15" t="s">
        <v>349</v>
      </c>
      <c r="C15" t="s">
        <v>356</v>
      </c>
      <c r="D15" t="s">
        <v>357</v>
      </c>
      <c r="E15" t="n">
        <v>0.08</v>
      </c>
      <c r="F15" t="s">
        <v>358</v>
      </c>
      <c r="G15"/>
    </row>
    <row r="16">
      <c r="A16" t="s">
        <v>127</v>
      </c>
      <c r="B16" t="s">
        <v>359</v>
      </c>
      <c r="C16" t="s">
        <v>360</v>
      </c>
      <c r="D16" t="s">
        <v>359</v>
      </c>
      <c r="E16" t="n">
        <v>1</v>
      </c>
      <c r="F16"/>
      <c r="G16"/>
    </row>
    <row r="17">
      <c r="A17" t="s">
        <v>139</v>
      </c>
      <c r="B17" t="s">
        <v>361</v>
      </c>
      <c r="C17" t="s">
        <v>362</v>
      </c>
      <c r="D17" t="s">
        <v>363</v>
      </c>
      <c r="E17" t="n">
        <v>1</v>
      </c>
      <c r="F17"/>
      <c r="G17"/>
    </row>
    <row r="18">
      <c r="A18" t="s">
        <v>140</v>
      </c>
      <c r="B18" t="s">
        <v>364</v>
      </c>
      <c r="C18" t="s">
        <v>365</v>
      </c>
      <c r="D18" t="s">
        <v>366</v>
      </c>
      <c r="E18" t="n">
        <v>1</v>
      </c>
      <c r="F18"/>
      <c r="G18"/>
    </row>
    <row r="19">
      <c r="A19" t="s">
        <v>141</v>
      </c>
      <c r="B19" t="s">
        <v>367</v>
      </c>
      <c r="C19" t="s">
        <v>365</v>
      </c>
      <c r="D19" t="s">
        <v>366</v>
      </c>
      <c r="E19" t="n">
        <v>1</v>
      </c>
      <c r="F19"/>
      <c r="G19"/>
    </row>
    <row r="20">
      <c r="A20" t="s">
        <v>128</v>
      </c>
      <c r="B20" t="s">
        <v>368</v>
      </c>
      <c r="C20" t="s">
        <v>369</v>
      </c>
      <c r="D20" t="s">
        <v>370</v>
      </c>
      <c r="E20" t="n">
        <v>1</v>
      </c>
      <c r="F20"/>
      <c r="G20"/>
    </row>
    <row r="21">
      <c r="A21" t="s">
        <v>142</v>
      </c>
      <c r="B21" t="s">
        <v>371</v>
      </c>
      <c r="C21" t="s">
        <v>372</v>
      </c>
      <c r="D21" t="s">
        <v>373</v>
      </c>
      <c r="E21" t="n">
        <v>1</v>
      </c>
      <c r="F21"/>
      <c r="G21"/>
    </row>
    <row r="22">
      <c r="A22" t="s">
        <v>143</v>
      </c>
      <c r="B22" t="s">
        <v>374</v>
      </c>
      <c r="C22" t="s">
        <v>372</v>
      </c>
      <c r="D22" t="s">
        <v>373</v>
      </c>
      <c r="E22" t="n">
        <v>1</v>
      </c>
      <c r="F22"/>
      <c r="G22"/>
    </row>
    <row r="23">
      <c r="A23" t="s">
        <v>144</v>
      </c>
      <c r="B23" t="s">
        <v>375</v>
      </c>
      <c r="C23" t="s">
        <v>376</v>
      </c>
      <c r="D23" t="s">
        <v>377</v>
      </c>
      <c r="E23" t="n">
        <v>0.961</v>
      </c>
      <c r="F23" t="s">
        <v>378</v>
      </c>
      <c r="G23"/>
    </row>
    <row r="24">
      <c r="A24" t="s">
        <v>144</v>
      </c>
      <c r="B24" t="s">
        <v>375</v>
      </c>
      <c r="C24" t="s">
        <v>379</v>
      </c>
      <c r="D24" t="s">
        <v>380</v>
      </c>
      <c r="E24" t="n">
        <v>0.039</v>
      </c>
      <c r="F24" t="s">
        <v>381</v>
      </c>
      <c r="G24"/>
    </row>
    <row r="25">
      <c r="A25" t="s">
        <v>146</v>
      </c>
      <c r="B25" t="s">
        <v>382</v>
      </c>
      <c r="C25" t="s">
        <v>126</v>
      </c>
      <c r="D25" t="s">
        <v>383</v>
      </c>
      <c r="E25" t="n">
        <v>1</v>
      </c>
      <c r="F25"/>
      <c r="G25"/>
    </row>
    <row r="26">
      <c r="A26" t="s">
        <v>131</v>
      </c>
      <c r="B26" t="s">
        <v>384</v>
      </c>
      <c r="C26" t="s">
        <v>385</v>
      </c>
      <c r="D26" t="s">
        <v>384</v>
      </c>
      <c r="E26" t="n">
        <v>1</v>
      </c>
      <c r="F26"/>
      <c r="G26"/>
    </row>
    <row r="27">
      <c r="A27" t="s">
        <v>132</v>
      </c>
      <c r="B27" t="s">
        <v>386</v>
      </c>
      <c r="C27" t="s">
        <v>387</v>
      </c>
      <c r="D27" t="s">
        <v>388</v>
      </c>
      <c r="E27" t="n">
        <v>1</v>
      </c>
      <c r="F27"/>
      <c r="G27"/>
    </row>
    <row r="28">
      <c r="A28" t="s">
        <v>133</v>
      </c>
      <c r="B28" t="s">
        <v>389</v>
      </c>
      <c r="C28" t="s">
        <v>390</v>
      </c>
      <c r="D28" t="s">
        <v>391</v>
      </c>
      <c r="E28" t="n">
        <v>1</v>
      </c>
      <c r="F28"/>
      <c r="G28"/>
    </row>
    <row r="29">
      <c r="A29" t="s">
        <v>134</v>
      </c>
      <c r="B29" t="s">
        <v>392</v>
      </c>
      <c r="C29" t="s">
        <v>393</v>
      </c>
      <c r="D29" t="s">
        <v>394</v>
      </c>
      <c r="E29" t="n">
        <v>1</v>
      </c>
      <c r="F29"/>
      <c r="G29"/>
    </row>
    <row r="30">
      <c r="A30" t="s">
        <v>135</v>
      </c>
      <c r="B30" t="s">
        <v>395</v>
      </c>
      <c r="C30" t="s">
        <v>396</v>
      </c>
      <c r="D30" t="s">
        <v>397</v>
      </c>
      <c r="E30" t="n">
        <v>1</v>
      </c>
      <c r="F30"/>
      <c r="G30"/>
    </row>
    <row r="31">
      <c r="A31" t="s">
        <v>136</v>
      </c>
      <c r="B31" t="s">
        <v>398</v>
      </c>
      <c r="C31" t="s">
        <v>399</v>
      </c>
      <c r="D31" t="s">
        <v>400</v>
      </c>
      <c r="E31" t="n">
        <v>1</v>
      </c>
      <c r="F31"/>
      <c r="G31"/>
    </row>
    <row r="32">
      <c r="A32" t="s">
        <v>137</v>
      </c>
      <c r="B32" t="s">
        <v>401</v>
      </c>
      <c r="C32" t="s">
        <v>402</v>
      </c>
      <c r="D32" t="s">
        <v>403</v>
      </c>
      <c r="E32" t="n">
        <v>1</v>
      </c>
      <c r="F32"/>
      <c r="G32"/>
    </row>
    <row r="33">
      <c r="A33" t="s">
        <v>138</v>
      </c>
      <c r="B33" t="s">
        <v>404</v>
      </c>
      <c r="C33" t="s">
        <v>402</v>
      </c>
      <c r="D33" t="s">
        <v>403</v>
      </c>
      <c r="E33" t="n">
        <v>1</v>
      </c>
      <c r="F33"/>
      <c r="G33"/>
    </row>
    <row r="34">
      <c r="A34" t="s">
        <v>147</v>
      </c>
      <c r="B34" t="s">
        <v>405</v>
      </c>
      <c r="C34" t="s">
        <v>406</v>
      </c>
      <c r="D34" t="s">
        <v>407</v>
      </c>
      <c r="E34" t="n">
        <v>1</v>
      </c>
      <c r="F34"/>
      <c r="G34"/>
    </row>
    <row r="35">
      <c r="A35" t="s">
        <v>148</v>
      </c>
      <c r="B35" t="s">
        <v>408</v>
      </c>
      <c r="C35" t="s">
        <v>406</v>
      </c>
      <c r="D35" t="s">
        <v>407</v>
      </c>
      <c r="E35" t="n">
        <v>1</v>
      </c>
      <c r="F35"/>
      <c r="G35"/>
    </row>
    <row r="36">
      <c r="A36" t="s">
        <v>149</v>
      </c>
      <c r="B36" t="s">
        <v>409</v>
      </c>
      <c r="C36" t="s">
        <v>406</v>
      </c>
      <c r="D36" t="s">
        <v>407</v>
      </c>
      <c r="E36" t="n">
        <v>1</v>
      </c>
      <c r="F36"/>
      <c r="G36"/>
    </row>
    <row r="37">
      <c r="A37" t="s">
        <v>150</v>
      </c>
      <c r="B37" t="s">
        <v>410</v>
      </c>
      <c r="C37" t="s">
        <v>406</v>
      </c>
      <c r="D37" t="s">
        <v>407</v>
      </c>
      <c r="E37" t="n">
        <v>1</v>
      </c>
      <c r="F37"/>
      <c r="G37"/>
    </row>
    <row r="38">
      <c r="A38" t="s">
        <v>151</v>
      </c>
      <c r="B38" t="s">
        <v>411</v>
      </c>
      <c r="C38" t="s">
        <v>406</v>
      </c>
      <c r="D38" t="s">
        <v>407</v>
      </c>
      <c r="E38" t="n">
        <v>1</v>
      </c>
      <c r="F38"/>
      <c r="G38"/>
    </row>
    <row r="39">
      <c r="A39" t="s">
        <v>152</v>
      </c>
      <c r="B39" t="s">
        <v>412</v>
      </c>
      <c r="C39" t="s">
        <v>413</v>
      </c>
      <c r="D39" t="s">
        <v>414</v>
      </c>
      <c r="E39" t="n">
        <v>1</v>
      </c>
      <c r="F39"/>
      <c r="G39"/>
    </row>
    <row r="40">
      <c r="A40" t="s">
        <v>153</v>
      </c>
      <c r="B40" t="s">
        <v>415</v>
      </c>
      <c r="C40" t="s">
        <v>413</v>
      </c>
      <c r="D40" t="s">
        <v>414</v>
      </c>
      <c r="E40" t="n">
        <v>1</v>
      </c>
      <c r="F40"/>
      <c r="G40"/>
    </row>
    <row r="41">
      <c r="A41" t="s">
        <v>154</v>
      </c>
      <c r="B41" t="s">
        <v>416</v>
      </c>
      <c r="C41" t="s">
        <v>413</v>
      </c>
      <c r="D41" t="s">
        <v>414</v>
      </c>
      <c r="E41" t="n">
        <v>1</v>
      </c>
      <c r="F41"/>
      <c r="G41"/>
    </row>
    <row r="42">
      <c r="A42" t="s">
        <v>155</v>
      </c>
      <c r="B42" t="s">
        <v>417</v>
      </c>
      <c r="C42" t="s">
        <v>413</v>
      </c>
      <c r="D42" t="s">
        <v>414</v>
      </c>
      <c r="E42" t="n">
        <v>1</v>
      </c>
      <c r="F42"/>
      <c r="G42"/>
    </row>
    <row r="43">
      <c r="A43" t="s">
        <v>156</v>
      </c>
      <c r="B43" t="s">
        <v>418</v>
      </c>
      <c r="C43" t="s">
        <v>413</v>
      </c>
      <c r="D43" t="s">
        <v>414</v>
      </c>
      <c r="E43" t="n">
        <v>1</v>
      </c>
      <c r="F43"/>
      <c r="G43"/>
    </row>
    <row r="44">
      <c r="A44" t="s">
        <v>157</v>
      </c>
      <c r="B44" t="s">
        <v>419</v>
      </c>
      <c r="C44" t="s">
        <v>353</v>
      </c>
      <c r="D44" t="s">
        <v>420</v>
      </c>
      <c r="E44" t="n">
        <v>1</v>
      </c>
      <c r="F44" t="s">
        <v>421</v>
      </c>
      <c r="G44"/>
    </row>
    <row r="45">
      <c r="A45" t="s">
        <v>158</v>
      </c>
      <c r="B45" t="s">
        <v>422</v>
      </c>
      <c r="C45" t="s">
        <v>413</v>
      </c>
      <c r="D45" t="s">
        <v>414</v>
      </c>
      <c r="E45" t="n">
        <v>1</v>
      </c>
      <c r="F45"/>
      <c r="G45"/>
    </row>
    <row r="46">
      <c r="A46" t="s">
        <v>159</v>
      </c>
      <c r="B46" t="s">
        <v>423</v>
      </c>
      <c r="C46" t="s">
        <v>413</v>
      </c>
      <c r="D46" t="s">
        <v>414</v>
      </c>
      <c r="E46" t="n">
        <v>1</v>
      </c>
      <c r="F46"/>
      <c r="G46"/>
    </row>
    <row r="47">
      <c r="A47" t="s">
        <v>160</v>
      </c>
      <c r="B47" t="s">
        <v>424</v>
      </c>
      <c r="C47" t="s">
        <v>425</v>
      </c>
      <c r="D47" t="s">
        <v>426</v>
      </c>
      <c r="E47" t="n">
        <v>1</v>
      </c>
      <c r="F47"/>
      <c r="G47"/>
    </row>
    <row r="48">
      <c r="A48" t="s">
        <v>161</v>
      </c>
      <c r="B48" t="s">
        <v>427</v>
      </c>
      <c r="C48" t="s">
        <v>425</v>
      </c>
      <c r="D48" t="s">
        <v>426</v>
      </c>
      <c r="E48" t="n">
        <v>1</v>
      </c>
      <c r="F48"/>
      <c r="G48"/>
    </row>
    <row r="49">
      <c r="A49" t="s">
        <v>162</v>
      </c>
      <c r="B49" t="s">
        <v>428</v>
      </c>
      <c r="C49" t="s">
        <v>425</v>
      </c>
      <c r="D49" t="s">
        <v>426</v>
      </c>
      <c r="E49" t="n">
        <v>0.25</v>
      </c>
      <c r="F49" t="s">
        <v>429</v>
      </c>
      <c r="G49"/>
    </row>
    <row r="50">
      <c r="A50" t="s">
        <v>162</v>
      </c>
      <c r="B50" t="s">
        <v>428</v>
      </c>
      <c r="C50" t="s">
        <v>177</v>
      </c>
      <c r="D50" t="s">
        <v>430</v>
      </c>
      <c r="E50" t="n">
        <v>0.75</v>
      </c>
      <c r="F50"/>
      <c r="G50"/>
    </row>
    <row r="51">
      <c r="A51" t="s">
        <v>163</v>
      </c>
      <c r="B51" t="s">
        <v>431</v>
      </c>
      <c r="C51" t="s">
        <v>432</v>
      </c>
      <c r="D51" t="s">
        <v>433</v>
      </c>
      <c r="E51" t="n">
        <v>1</v>
      </c>
      <c r="F51"/>
      <c r="G51"/>
    </row>
    <row r="52">
      <c r="A52" t="s">
        <v>164</v>
      </c>
      <c r="B52" t="s">
        <v>434</v>
      </c>
      <c r="C52" t="s">
        <v>435</v>
      </c>
      <c r="D52" t="s">
        <v>436</v>
      </c>
      <c r="E52" t="n">
        <v>1</v>
      </c>
      <c r="F52"/>
      <c r="G52"/>
    </row>
    <row r="53">
      <c r="A53" t="s">
        <v>165</v>
      </c>
      <c r="B53" t="s">
        <v>437</v>
      </c>
      <c r="C53" t="s">
        <v>435</v>
      </c>
      <c r="D53" t="s">
        <v>436</v>
      </c>
      <c r="E53" t="n">
        <v>1</v>
      </c>
      <c r="F53"/>
      <c r="G53"/>
    </row>
    <row r="54">
      <c r="A54" t="s">
        <v>166</v>
      </c>
      <c r="B54" t="s">
        <v>438</v>
      </c>
      <c r="C54" t="s">
        <v>435</v>
      </c>
      <c r="D54" t="s">
        <v>436</v>
      </c>
      <c r="E54" t="n">
        <v>1</v>
      </c>
      <c r="F54"/>
      <c r="G54"/>
    </row>
    <row r="55">
      <c r="A55" t="s">
        <v>167</v>
      </c>
      <c r="B55" t="s">
        <v>439</v>
      </c>
      <c r="C55" t="s">
        <v>435</v>
      </c>
      <c r="D55" t="s">
        <v>436</v>
      </c>
      <c r="E55" t="n">
        <v>1</v>
      </c>
      <c r="F55"/>
      <c r="G55"/>
    </row>
    <row r="56">
      <c r="A56" t="s">
        <v>168</v>
      </c>
      <c r="B56" t="s">
        <v>440</v>
      </c>
      <c r="C56" t="s">
        <v>441</v>
      </c>
      <c r="D56" t="s">
        <v>442</v>
      </c>
      <c r="E56" t="n">
        <v>1</v>
      </c>
      <c r="F56"/>
      <c r="G56"/>
    </row>
    <row r="57">
      <c r="A57" t="s">
        <v>169</v>
      </c>
      <c r="B57" t="s">
        <v>443</v>
      </c>
      <c r="C57" t="s">
        <v>441</v>
      </c>
      <c r="D57" t="s">
        <v>442</v>
      </c>
      <c r="E57" t="n">
        <v>1</v>
      </c>
      <c r="F57"/>
      <c r="G57"/>
    </row>
    <row r="58">
      <c r="A58" t="s">
        <v>170</v>
      </c>
      <c r="B58" t="s">
        <v>444</v>
      </c>
      <c r="C58" t="s">
        <v>445</v>
      </c>
      <c r="D58" t="s">
        <v>446</v>
      </c>
      <c r="E58" t="n">
        <v>1</v>
      </c>
      <c r="F58" t="s">
        <v>447</v>
      </c>
      <c r="G58"/>
    </row>
    <row r="59">
      <c r="A59" t="s">
        <v>171</v>
      </c>
      <c r="B59" t="s">
        <v>448</v>
      </c>
      <c r="C59" t="s">
        <v>445</v>
      </c>
      <c r="D59" t="s">
        <v>446</v>
      </c>
      <c r="E59" t="n">
        <v>1</v>
      </c>
      <c r="F59"/>
      <c r="G59"/>
    </row>
    <row r="60">
      <c r="A60" t="s">
        <v>173</v>
      </c>
      <c r="B60" t="s">
        <v>449</v>
      </c>
      <c r="C60" t="s">
        <v>445</v>
      </c>
      <c r="D60" t="s">
        <v>446</v>
      </c>
      <c r="E60" t="n">
        <v>1</v>
      </c>
      <c r="F60"/>
      <c r="G60"/>
    </row>
    <row r="61">
      <c r="A61" t="s">
        <v>172</v>
      </c>
      <c r="B61" t="s">
        <v>450</v>
      </c>
      <c r="C61" t="s">
        <v>432</v>
      </c>
      <c r="D61" t="s">
        <v>433</v>
      </c>
      <c r="E61" t="n">
        <v>1</v>
      </c>
      <c r="F61" t="s">
        <v>451</v>
      </c>
      <c r="G61"/>
    </row>
    <row r="62">
      <c r="A62" t="s">
        <v>174</v>
      </c>
      <c r="B62" t="s">
        <v>452</v>
      </c>
      <c r="C62" t="s">
        <v>445</v>
      </c>
      <c r="D62" t="s">
        <v>446</v>
      </c>
      <c r="E62" t="n">
        <v>1</v>
      </c>
      <c r="F62"/>
      <c r="G62"/>
    </row>
    <row r="63">
      <c r="A63" t="s">
        <v>175</v>
      </c>
      <c r="B63" t="s">
        <v>453</v>
      </c>
      <c r="C63" t="s">
        <v>445</v>
      </c>
      <c r="D63" t="s">
        <v>446</v>
      </c>
      <c r="E63" t="n">
        <v>1</v>
      </c>
      <c r="F63"/>
      <c r="G63"/>
    </row>
    <row r="64">
      <c r="A64" t="s">
        <v>176</v>
      </c>
      <c r="B64" t="s">
        <v>454</v>
      </c>
      <c r="C64" t="s">
        <v>356</v>
      </c>
      <c r="D64" t="s">
        <v>455</v>
      </c>
      <c r="E64" t="n">
        <v>1</v>
      </c>
      <c r="F64"/>
      <c r="G64"/>
    </row>
    <row r="65">
      <c r="A65" t="s">
        <v>177</v>
      </c>
      <c r="B65" t="s">
        <v>456</v>
      </c>
      <c r="C65" t="s">
        <v>457</v>
      </c>
      <c r="D65" t="s">
        <v>458</v>
      </c>
      <c r="E65" t="n">
        <v>1</v>
      </c>
      <c r="F65"/>
      <c r="G65"/>
    </row>
    <row r="66">
      <c r="A66" t="s">
        <v>178</v>
      </c>
      <c r="B66" t="s">
        <v>459</v>
      </c>
      <c r="C66" t="s">
        <v>460</v>
      </c>
      <c r="D66" t="s">
        <v>461</v>
      </c>
      <c r="E66" t="n">
        <v>1</v>
      </c>
      <c r="F66"/>
      <c r="G66"/>
    </row>
    <row r="67">
      <c r="A67" t="s">
        <v>179</v>
      </c>
      <c r="B67" t="s">
        <v>462</v>
      </c>
      <c r="C67" t="s">
        <v>460</v>
      </c>
      <c r="D67" t="s">
        <v>461</v>
      </c>
      <c r="E67" t="n">
        <v>1</v>
      </c>
      <c r="F67"/>
      <c r="G67"/>
    </row>
    <row r="68">
      <c r="A68" t="s">
        <v>180</v>
      </c>
      <c r="B68" t="s">
        <v>463</v>
      </c>
      <c r="C68" t="s">
        <v>460</v>
      </c>
      <c r="D68" t="s">
        <v>461</v>
      </c>
      <c r="E68" t="n">
        <v>1</v>
      </c>
      <c r="F68"/>
      <c r="G68"/>
    </row>
    <row r="69">
      <c r="A69" t="s">
        <v>181</v>
      </c>
      <c r="B69" t="s">
        <v>464</v>
      </c>
      <c r="C69" t="s">
        <v>460</v>
      </c>
      <c r="D69" t="s">
        <v>461</v>
      </c>
      <c r="E69" t="n">
        <v>1</v>
      </c>
      <c r="F69"/>
      <c r="G69"/>
    </row>
    <row r="70">
      <c r="A70" t="s">
        <v>182</v>
      </c>
      <c r="B70" t="s">
        <v>465</v>
      </c>
      <c r="C70" t="s">
        <v>466</v>
      </c>
      <c r="D70" t="s">
        <v>467</v>
      </c>
      <c r="E70" t="n">
        <v>1</v>
      </c>
      <c r="F70"/>
      <c r="G70"/>
    </row>
    <row r="71">
      <c r="A71" t="s">
        <v>183</v>
      </c>
      <c r="B71" t="s">
        <v>468</v>
      </c>
      <c r="C71" t="s">
        <v>466</v>
      </c>
      <c r="D71" t="s">
        <v>467</v>
      </c>
      <c r="E71" t="n">
        <v>1</v>
      </c>
      <c r="F71"/>
      <c r="G71"/>
    </row>
    <row r="72">
      <c r="A72" t="s">
        <v>184</v>
      </c>
      <c r="B72" t="s">
        <v>469</v>
      </c>
      <c r="C72" t="s">
        <v>470</v>
      </c>
      <c r="D72" t="s">
        <v>471</v>
      </c>
      <c r="E72" t="n">
        <v>1</v>
      </c>
      <c r="F72"/>
      <c r="G72"/>
    </row>
    <row r="73">
      <c r="A73" t="s">
        <v>185</v>
      </c>
      <c r="B73" t="s">
        <v>472</v>
      </c>
      <c r="C73" t="s">
        <v>470</v>
      </c>
      <c r="D73" t="s">
        <v>471</v>
      </c>
      <c r="E73" t="n">
        <v>1</v>
      </c>
      <c r="F73"/>
      <c r="G73"/>
    </row>
    <row r="74">
      <c r="A74" t="s">
        <v>186</v>
      </c>
      <c r="B74" t="s">
        <v>473</v>
      </c>
      <c r="C74" t="s">
        <v>466</v>
      </c>
      <c r="D74" t="s">
        <v>467</v>
      </c>
      <c r="E74" t="n">
        <v>1</v>
      </c>
      <c r="F74"/>
      <c r="G74"/>
    </row>
    <row r="75">
      <c r="A75" t="s">
        <v>187</v>
      </c>
      <c r="B75" t="s">
        <v>474</v>
      </c>
      <c r="C75" t="s">
        <v>475</v>
      </c>
      <c r="D75" t="s">
        <v>476</v>
      </c>
      <c r="E75" t="n">
        <v>1</v>
      </c>
      <c r="F75"/>
      <c r="G75"/>
    </row>
    <row r="76">
      <c r="A76" t="s">
        <v>188</v>
      </c>
      <c r="B76" t="s">
        <v>477</v>
      </c>
      <c r="C76" t="s">
        <v>475</v>
      </c>
      <c r="D76" t="s">
        <v>476</v>
      </c>
      <c r="E76" t="n">
        <v>1</v>
      </c>
      <c r="F76"/>
      <c r="G76"/>
    </row>
    <row r="77">
      <c r="A77" t="s">
        <v>189</v>
      </c>
      <c r="B77" t="s">
        <v>478</v>
      </c>
      <c r="C77" t="s">
        <v>475</v>
      </c>
      <c r="D77" t="s">
        <v>476</v>
      </c>
      <c r="E77" t="n">
        <v>1</v>
      </c>
      <c r="F77"/>
      <c r="G77"/>
    </row>
    <row r="78">
      <c r="A78" t="s">
        <v>190</v>
      </c>
      <c r="B78" t="s">
        <v>479</v>
      </c>
      <c r="C78" t="s">
        <v>475</v>
      </c>
      <c r="D78" t="s">
        <v>476</v>
      </c>
      <c r="E78" t="n">
        <v>1</v>
      </c>
      <c r="F78"/>
      <c r="G78"/>
    </row>
    <row r="79">
      <c r="A79" t="s">
        <v>191</v>
      </c>
      <c r="B79" t="s">
        <v>480</v>
      </c>
      <c r="C79" t="s">
        <v>475</v>
      </c>
      <c r="D79" t="s">
        <v>476</v>
      </c>
      <c r="E79" t="n">
        <v>1</v>
      </c>
      <c r="F79"/>
      <c r="G79"/>
    </row>
    <row r="80">
      <c r="A80" t="s">
        <v>124</v>
      </c>
      <c r="B80" t="s">
        <v>481</v>
      </c>
      <c r="C80" t="s">
        <v>482</v>
      </c>
      <c r="D80" t="s">
        <v>483</v>
      </c>
      <c r="E80" t="n">
        <v>0</v>
      </c>
      <c r="F80"/>
      <c r="G80" t="s">
        <v>484</v>
      </c>
    </row>
    <row r="81">
      <c r="A81" t="s">
        <v>124</v>
      </c>
      <c r="B81" t="s">
        <v>481</v>
      </c>
      <c r="C81" t="s">
        <v>485</v>
      </c>
      <c r="D81" t="s">
        <v>486</v>
      </c>
      <c r="E81" t="n">
        <v>1</v>
      </c>
      <c r="F81"/>
      <c r="G81" t="s">
        <v>484</v>
      </c>
    </row>
    <row r="82">
      <c r="A82" t="s">
        <v>129</v>
      </c>
      <c r="B82" t="s">
        <v>487</v>
      </c>
      <c r="C82" t="s">
        <v>488</v>
      </c>
      <c r="D82" t="s">
        <v>489</v>
      </c>
      <c r="E82" t="n">
        <v>0.25</v>
      </c>
      <c r="F82"/>
      <c r="G82" t="s">
        <v>490</v>
      </c>
    </row>
    <row r="83">
      <c r="A83" t="s">
        <v>129</v>
      </c>
      <c r="B83" t="s">
        <v>487</v>
      </c>
      <c r="C83" t="s">
        <v>491</v>
      </c>
      <c r="D83" t="s">
        <v>492</v>
      </c>
      <c r="E83" t="n">
        <v>0.75</v>
      </c>
      <c r="F83"/>
      <c r="G83" t="s">
        <v>490</v>
      </c>
    </row>
    <row r="84">
      <c r="A84" t="s">
        <v>130</v>
      </c>
      <c r="B84" t="s">
        <v>493</v>
      </c>
      <c r="C84" t="s">
        <v>379</v>
      </c>
      <c r="D84" t="s">
        <v>380</v>
      </c>
      <c r="E84" t="n">
        <v>0.6</v>
      </c>
      <c r="F84"/>
      <c r="G84" t="s">
        <v>494</v>
      </c>
    </row>
    <row r="85">
      <c r="A85" t="s">
        <v>130</v>
      </c>
      <c r="B85" t="s">
        <v>493</v>
      </c>
      <c r="C85" t="s">
        <v>495</v>
      </c>
      <c r="D85" t="s">
        <v>496</v>
      </c>
      <c r="E85" t="n">
        <v>0.4</v>
      </c>
      <c r="F85"/>
      <c r="G85" t="s">
        <v>494</v>
      </c>
    </row>
    <row r="86">
      <c r="A86" t="s">
        <v>145</v>
      </c>
      <c r="B86" t="s">
        <v>497</v>
      </c>
      <c r="C86" t="s">
        <v>498</v>
      </c>
      <c r="D86" t="s">
        <v>499</v>
      </c>
      <c r="E86" t="n">
        <v>0.6</v>
      </c>
      <c r="F86"/>
      <c r="G86" t="s">
        <v>500</v>
      </c>
    </row>
    <row r="87">
      <c r="A87" t="s">
        <v>145</v>
      </c>
      <c r="B87" t="s">
        <v>497</v>
      </c>
      <c r="C87" t="s">
        <v>501</v>
      </c>
      <c r="D87" t="s">
        <v>502</v>
      </c>
      <c r="E87" t="n">
        <v>0.4</v>
      </c>
      <c r="F87"/>
      <c r="G87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503</v>
      </c>
    </row>
    <row r="2">
      <c r="A2" t="s">
        <v>1</v>
      </c>
    </row>
    <row r="3">
      <c r="A3" t="s">
        <v>504</v>
      </c>
    </row>
    <row r="4">
      <c r="A4" t="s">
        <v>505</v>
      </c>
    </row>
    <row r="5">
      <c r="A5" t="s">
        <v>506</v>
      </c>
    </row>
    <row r="6">
      <c r="A6" t="s">
        <v>507</v>
      </c>
    </row>
    <row r="7">
      <c r="A7" t="s">
        <v>508</v>
      </c>
    </row>
    <row r="8">
      <c r="A8" t="s">
        <v>509</v>
      </c>
    </row>
    <row r="9">
      <c r="A9" t="s">
        <v>1</v>
      </c>
    </row>
    <row r="11">
      <c r="A11" t="s">
        <v>332</v>
      </c>
      <c r="B11" t="s">
        <v>334</v>
      </c>
      <c r="C11" t="s">
        <v>336</v>
      </c>
      <c r="D11" t="s">
        <v>338</v>
      </c>
    </row>
    <row r="12">
      <c r="A12" t="n">
        <v>212</v>
      </c>
      <c r="B12" t="s">
        <v>482</v>
      </c>
      <c r="C12" t="n">
        <v>0</v>
      </c>
      <c r="D12" t="s">
        <v>484</v>
      </c>
    </row>
    <row r="13">
      <c r="A13" t="n">
        <v>212</v>
      </c>
      <c r="B13" t="s">
        <v>485</v>
      </c>
      <c r="C13" t="n">
        <v>1</v>
      </c>
      <c r="D13" t="s">
        <v>484</v>
      </c>
    </row>
    <row r="14">
      <c r="A14" t="n">
        <v>327</v>
      </c>
      <c r="B14" t="s">
        <v>488</v>
      </c>
      <c r="C14" t="n">
        <v>0.25</v>
      </c>
      <c r="D14" t="s">
        <v>490</v>
      </c>
    </row>
    <row r="15">
      <c r="A15" t="n">
        <v>327</v>
      </c>
      <c r="B15" t="s">
        <v>491</v>
      </c>
      <c r="C15" t="n">
        <v>0.75</v>
      </c>
      <c r="D15" t="s">
        <v>490</v>
      </c>
    </row>
    <row r="16">
      <c r="A16" t="n">
        <v>331</v>
      </c>
      <c r="B16" t="s">
        <v>379</v>
      </c>
      <c r="C16" t="n">
        <v>0.6</v>
      </c>
      <c r="D16" t="s">
        <v>494</v>
      </c>
    </row>
    <row r="17">
      <c r="A17" t="n">
        <v>331</v>
      </c>
      <c r="B17" t="s">
        <v>495</v>
      </c>
      <c r="C17" t="n">
        <v>0.4</v>
      </c>
      <c r="D17" t="s">
        <v>494</v>
      </c>
    </row>
    <row r="18">
      <c r="A18" t="n">
        <v>325</v>
      </c>
      <c r="B18" t="s">
        <v>498</v>
      </c>
      <c r="C18" t="n">
        <v>0.6</v>
      </c>
      <c r="D18" t="s">
        <v>500</v>
      </c>
    </row>
    <row r="19">
      <c r="A19" t="n">
        <v>325</v>
      </c>
      <c r="B19" t="s">
        <v>501</v>
      </c>
      <c r="C19" t="n">
        <v>0.4</v>
      </c>
      <c r="D19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510</v>
      </c>
    </row>
    <row r="2">
      <c r="A2" t="s">
        <v>511</v>
      </c>
    </row>
    <row r="3">
      <c r="A3" t="s">
        <v>512</v>
      </c>
    </row>
    <row r="4">
      <c r="A4" t="s">
        <v>513</v>
      </c>
    </row>
    <row r="5">
      <c r="A5" t="s">
        <v>1</v>
      </c>
    </row>
    <row r="7">
      <c r="A7" t="s">
        <v>514</v>
      </c>
      <c r="B7" t="s">
        <v>515</v>
      </c>
      <c r="C7" t="s">
        <v>516</v>
      </c>
    </row>
    <row r="8">
      <c r="A8" t="s">
        <v>340</v>
      </c>
      <c r="B8" t="s">
        <v>517</v>
      </c>
      <c r="C8" t="s">
        <v>518</v>
      </c>
    </row>
    <row r="9">
      <c r="A9" t="s">
        <v>482</v>
      </c>
      <c r="B9" t="s">
        <v>483</v>
      </c>
      <c r="C9" t="s">
        <v>519</v>
      </c>
    </row>
    <row r="10">
      <c r="A10" t="s">
        <v>344</v>
      </c>
      <c r="B10" t="s">
        <v>345</v>
      </c>
      <c r="C10" t="s">
        <v>520</v>
      </c>
    </row>
    <row r="11">
      <c r="A11" t="s">
        <v>485</v>
      </c>
      <c r="B11" t="s">
        <v>521</v>
      </c>
      <c r="C11" t="s">
        <v>522</v>
      </c>
    </row>
    <row r="12">
      <c r="A12" t="s">
        <v>347</v>
      </c>
      <c r="B12" t="s">
        <v>348</v>
      </c>
      <c r="C12" t="s">
        <v>523</v>
      </c>
    </row>
    <row r="13">
      <c r="A13" t="s">
        <v>362</v>
      </c>
      <c r="B13" t="s">
        <v>524</v>
      </c>
      <c r="C13" t="s">
        <v>525</v>
      </c>
    </row>
    <row r="14">
      <c r="A14" t="s">
        <v>365</v>
      </c>
      <c r="B14" t="s">
        <v>526</v>
      </c>
      <c r="C14" t="s">
        <v>527</v>
      </c>
    </row>
    <row r="15">
      <c r="A15" t="s">
        <v>369</v>
      </c>
      <c r="B15" t="s">
        <v>528</v>
      </c>
      <c r="C15" t="s">
        <v>529</v>
      </c>
    </row>
    <row r="16">
      <c r="A16" t="s">
        <v>372</v>
      </c>
      <c r="B16" t="s">
        <v>373</v>
      </c>
      <c r="C16" t="s">
        <v>530</v>
      </c>
    </row>
    <row r="17">
      <c r="A17" t="s">
        <v>376</v>
      </c>
      <c r="B17" t="s">
        <v>377</v>
      </c>
      <c r="C17" t="s">
        <v>531</v>
      </c>
    </row>
    <row r="18">
      <c r="A18" t="s">
        <v>498</v>
      </c>
      <c r="B18" t="s">
        <v>532</v>
      </c>
      <c r="C18" t="s">
        <v>533</v>
      </c>
    </row>
    <row r="19">
      <c r="A19" t="s">
        <v>501</v>
      </c>
      <c r="B19" t="s">
        <v>534</v>
      </c>
      <c r="C19" t="s">
        <v>535</v>
      </c>
    </row>
    <row r="20">
      <c r="A20" t="s">
        <v>126</v>
      </c>
      <c r="B20" t="s">
        <v>383</v>
      </c>
      <c r="C20" t="s">
        <v>536</v>
      </c>
    </row>
    <row r="21">
      <c r="A21" t="s">
        <v>488</v>
      </c>
      <c r="B21" t="s">
        <v>537</v>
      </c>
      <c r="C21" t="s">
        <v>538</v>
      </c>
    </row>
    <row r="22">
      <c r="A22" t="s">
        <v>491</v>
      </c>
      <c r="B22" t="s">
        <v>539</v>
      </c>
      <c r="C22" t="s">
        <v>540</v>
      </c>
    </row>
    <row r="23">
      <c r="A23" t="s">
        <v>379</v>
      </c>
      <c r="B23" t="s">
        <v>541</v>
      </c>
      <c r="C23" t="s">
        <v>542</v>
      </c>
    </row>
    <row r="24">
      <c r="A24" t="s">
        <v>495</v>
      </c>
      <c r="B24" t="s">
        <v>543</v>
      </c>
      <c r="C24" t="s">
        <v>544</v>
      </c>
    </row>
    <row r="25">
      <c r="A25" t="s">
        <v>385</v>
      </c>
      <c r="B25" t="s">
        <v>545</v>
      </c>
      <c r="C25" t="s">
        <v>546</v>
      </c>
    </row>
    <row r="26">
      <c r="A26" t="s">
        <v>390</v>
      </c>
      <c r="B26" t="s">
        <v>391</v>
      </c>
      <c r="C26" t="s">
        <v>547</v>
      </c>
    </row>
    <row r="27">
      <c r="A27" t="s">
        <v>393</v>
      </c>
      <c r="B27" t="s">
        <v>394</v>
      </c>
      <c r="C27" t="s">
        <v>548</v>
      </c>
    </row>
    <row r="28">
      <c r="A28" t="s">
        <v>387</v>
      </c>
      <c r="B28" t="s">
        <v>388</v>
      </c>
      <c r="C28" t="s">
        <v>549</v>
      </c>
    </row>
    <row r="29">
      <c r="A29" t="s">
        <v>396</v>
      </c>
      <c r="B29" t="s">
        <v>550</v>
      </c>
      <c r="C29" t="s">
        <v>551</v>
      </c>
    </row>
    <row r="30">
      <c r="A30" t="s">
        <v>399</v>
      </c>
      <c r="B30" t="s">
        <v>400</v>
      </c>
      <c r="C30" t="s">
        <v>552</v>
      </c>
    </row>
    <row r="31">
      <c r="A31" t="s">
        <v>402</v>
      </c>
      <c r="B31" t="s">
        <v>553</v>
      </c>
      <c r="C31" t="s">
        <v>554</v>
      </c>
    </row>
    <row r="32">
      <c r="A32" t="s">
        <v>350</v>
      </c>
      <c r="B32" t="s">
        <v>555</v>
      </c>
      <c r="C32" t="s">
        <v>556</v>
      </c>
    </row>
    <row r="33">
      <c r="A33" t="s">
        <v>353</v>
      </c>
      <c r="B33" t="s">
        <v>557</v>
      </c>
      <c r="C33" t="s">
        <v>558</v>
      </c>
    </row>
    <row r="34">
      <c r="A34" t="s">
        <v>356</v>
      </c>
      <c r="B34" t="s">
        <v>559</v>
      </c>
      <c r="C34" t="s">
        <v>560</v>
      </c>
    </row>
    <row r="35">
      <c r="A35" t="s">
        <v>360</v>
      </c>
      <c r="B35" t="s">
        <v>359</v>
      </c>
      <c r="C35" t="s">
        <v>561</v>
      </c>
    </row>
    <row r="36">
      <c r="A36" t="s">
        <v>406</v>
      </c>
      <c r="B36" t="s">
        <v>562</v>
      </c>
      <c r="C36" t="s">
        <v>563</v>
      </c>
    </row>
    <row r="37">
      <c r="A37" t="s">
        <v>413</v>
      </c>
      <c r="B37" t="s">
        <v>414</v>
      </c>
      <c r="C37" t="s">
        <v>564</v>
      </c>
    </row>
    <row r="38">
      <c r="A38" t="s">
        <v>470</v>
      </c>
      <c r="B38" t="s">
        <v>565</v>
      </c>
      <c r="C38" t="s">
        <v>566</v>
      </c>
    </row>
    <row r="39">
      <c r="A39" t="s">
        <v>425</v>
      </c>
      <c r="B39" t="s">
        <v>567</v>
      </c>
      <c r="C39" t="s">
        <v>568</v>
      </c>
    </row>
    <row r="40">
      <c r="A40" t="s">
        <v>177</v>
      </c>
      <c r="B40" t="s">
        <v>430</v>
      </c>
      <c r="C40" t="s">
        <v>569</v>
      </c>
    </row>
    <row r="41">
      <c r="A41" t="s">
        <v>432</v>
      </c>
      <c r="B41" t="s">
        <v>433</v>
      </c>
      <c r="C41" t="s">
        <v>570</v>
      </c>
    </row>
    <row r="42">
      <c r="A42" t="s">
        <v>435</v>
      </c>
      <c r="B42" t="s">
        <v>571</v>
      </c>
      <c r="C42" t="s">
        <v>572</v>
      </c>
    </row>
    <row r="43">
      <c r="A43" t="s">
        <v>441</v>
      </c>
      <c r="B43" t="s">
        <v>442</v>
      </c>
      <c r="C43" t="s">
        <v>573</v>
      </c>
    </row>
    <row r="44">
      <c r="A44" t="s">
        <v>445</v>
      </c>
      <c r="B44" t="s">
        <v>574</v>
      </c>
      <c r="C44" t="s">
        <v>575</v>
      </c>
    </row>
    <row r="45">
      <c r="A45" t="s">
        <v>475</v>
      </c>
      <c r="B45" t="s">
        <v>576</v>
      </c>
      <c r="C45" t="s">
        <v>577</v>
      </c>
    </row>
    <row r="46">
      <c r="A46" t="s">
        <v>457</v>
      </c>
      <c r="B46" t="s">
        <v>458</v>
      </c>
      <c r="C46" t="s">
        <v>578</v>
      </c>
    </row>
    <row r="47">
      <c r="A47" t="s">
        <v>460</v>
      </c>
      <c r="B47" t="s">
        <v>579</v>
      </c>
      <c r="C47" t="s">
        <v>580</v>
      </c>
    </row>
    <row r="48">
      <c r="A48" t="s">
        <v>466</v>
      </c>
      <c r="B48" t="s">
        <v>581</v>
      </c>
      <c r="C48" t="s">
        <v>582</v>
      </c>
    </row>
    <row r="49">
      <c r="A49" t="s">
        <v>583</v>
      </c>
      <c r="B49" t="s">
        <v>584</v>
      </c>
      <c r="C49" t="s">
        <v>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IFERROR(INDEX('1_DCS_numerator_by_BEA'!$B$2:$B$74, MATCH($A3, '1_DCS_numerator_by_BEA'!$A$2:$A$74,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IFERROR(INDEX('1_DCS_numerator_by_BEA'!$B$2:$B$74, MATCH($A4, '1_DCS_numerator_by_BEA'!$A$2:$A$74,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IFERROR(INDEX('1_DCS_numerator_by_BEA'!$B$2:$B$74, MATCH($A5, '1_DCS_numerator_by_BEA'!$A$2:$A$74,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IFERROR(INDEX('1_DCS_numerator_by_BEA'!$B$2:$B$74, MATCH($A6, '1_DCS_numerator_by_BEA'!$A$2:$A$74,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IFERROR(INDEX('1_DCS_numerator_by_BEA'!$B$2:$B$74, MATCH($A7, '1_DCS_numerator_by_BEA'!$A$2:$A$74,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IFERROR(INDEX('1_DCS_numerator_by_BEA'!$B$2:$B$74, MATCH($A8, '1_DCS_numerator_by_BEA'!$A$2:$A$74,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IFERROR(INDEX('1_DCS_numerator_by_BEA'!$B$2:$B$74, MATCH($A9, '1_DCS_numerator_by_BEA'!$A$2:$A$74,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IFERROR(INDEX('1_DCS_numerator_by_BEA'!$B$2:$B$74, MATCH($A10, '1_DCS_numerator_by_BEA'!$A$2:$A$74,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IFERROR(INDEX('1_DCS_numerator_by_BEA'!$B$2:$B$74, MATCH($A11, '1_DCS_numerator_by_BEA'!$A$2:$A$74,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IFERROR(INDEX('1_DCS_numerator_by_BEA'!$B$2:$B$74, MATCH($A12, '1_DCS_numerator_by_BEA'!$A$2:$A$74,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IFERROR(INDEX('1_DCS_numerator_by_BEA'!$B$2:$B$74, MATCH($A13, '1_DCS_numerator_by_BEA'!$A$2:$A$74,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IFERROR(INDEX('1_DCS_numerator_by_BEA'!$B$2:$B$74, MATCH($A14, '1_DCS_numerator_by_BEA'!$A$2:$A$74,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IFERROR(INDEX('1_DCS_numerator_by_BEA'!$B$2:$B$74, MATCH($A15, '1_DCS_numerator_by_BEA'!$A$2:$A$74,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IFERROR(INDEX('1_DCS_numerator_by_BEA'!$B$2:$B$74, MATCH($A16, '1_DCS_numerator_by_BEA'!$A$2:$A$74,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IFERROR(INDEX('1_DCS_numerator_by_BEA'!$B$2:$B$74, MATCH($A17, '1_DCS_numerator_by_BEA'!$A$2:$A$74,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IFERROR(INDEX('1_DCS_numerator_by_BEA'!$B$2:$B$74, MATCH($A18, '1_DCS_numerator_by_BEA'!$A$2:$A$74,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IFERROR(INDEX('1_DCS_numerator_by_BEA'!$B$2:$B$74, MATCH($A19, '1_DCS_numerator_by_BEA'!$A$2:$A$74,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IFERROR(INDEX('1_DCS_numerator_by_BEA'!$B$2:$B$74, MATCH($A20, '1_DCS_numerator_by_BEA'!$A$2:$A$74,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IFERROR(INDEX('1_DCS_numerator_by_BEA'!$B$2:$B$74, MATCH($A21, '1_DCS_numerator_by_BEA'!$A$2:$A$74,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IFERROR(INDEX('1_DCS_numerator_by_BEA'!$B$2:$B$74, MATCH($A22, '1_DCS_numerator_by_BEA'!$A$2:$A$74,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IFERROR(INDEX('1_DCS_numerator_by_BEA'!$B$2:$B$74, MATCH($A23, '1_DCS_numerator_by_BEA'!$A$2:$A$74,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IFERROR(INDEX('1_DCS_numerator_by_BEA'!$B$2:$B$74, MATCH($A24, '1_DCS_numerator_by_BEA'!$A$2:$A$74,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IFERROR(INDEX('1_DCS_numerator_by_BEA'!$B$2:$B$74, MATCH($A25, '1_DCS_numerator_by_BEA'!$A$2:$A$74,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IFERROR(INDEX('1_DCS_numerator_by_BEA'!$B$2:$B$74, MATCH($A26, '1_DCS_numerator_by_BEA'!$A$2:$A$74,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IFERROR(INDEX('1_DCS_numerator_by_BEA'!$B$2:$B$74, MATCH($A27, '1_DCS_numerator_by_BEA'!$A$2:$A$74,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IFERROR(INDEX('1_DCS_numerator_by_BEA'!$B$2:$B$74, MATCH($A28, '1_DCS_numerator_by_BEA'!$A$2:$A$74,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IFERROR(INDEX('1_DCS_numerator_by_BEA'!$B$2:$B$74, MATCH($A29, '1_DCS_numerator_by_BEA'!$A$2:$A$74,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IFERROR(INDEX('1_DCS_numerator_by_BEA'!$B$2:$B$74, MATCH($A30, '1_DCS_numerator_by_BEA'!$A$2:$A$74,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IFERROR(INDEX('1_DCS_numerator_by_BEA'!$B$2:$B$74, MATCH($A31, '1_DCS_numerator_by_BEA'!$A$2:$A$74,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IFERROR(INDEX('1_DCS_numerator_by_BEA'!$B$2:$B$74, MATCH($A32, '1_DCS_numerator_by_BEA'!$A$2:$A$74,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IFERROR(INDEX('1_DCS_numerator_by_BEA'!$B$2:$B$74, MATCH($A33, '1_DCS_numerator_by_BEA'!$A$2:$A$74,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IFERROR(INDEX('1_DCS_numerator_by_BEA'!$B$2:$B$74, MATCH($A34, '1_DCS_numerator_by_BEA'!$A$2:$A$74,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IFERROR(INDEX('1_DCS_numerator_by_BEA'!$B$2:$B$74, MATCH($A35, '1_DCS_numerator_by_BEA'!$A$2:$A$74,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IFERROR(INDEX('1_DCS_numerator_by_BEA'!$B$2:$B$74, MATCH($A36, '1_DCS_numerator_by_BEA'!$A$2:$A$74,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IFERROR(INDEX('1_DCS_numerator_by_BEA'!$B$2:$B$74, MATCH($A37, '1_DCS_numerator_by_BEA'!$A$2:$A$74,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IFERROR(INDEX('1_DCS_numerator_by_BEA'!$B$2:$B$74, MATCH($A38, '1_DCS_numerator_by_BEA'!$A$2:$A$74,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IFERROR(INDEX('1_DCS_numerator_by_BEA'!$B$2:$B$74, MATCH($A39, '1_DCS_numerator_by_BEA'!$A$2:$A$74,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IFERROR(INDEX('1_DCS_numerator_by_BEA'!$B$2:$B$74, MATCH($A40, '1_DCS_numerator_by_BEA'!$A$2:$A$74,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IFERROR(INDEX('1_DCS_numerator_by_BEA'!$B$2:$B$74, MATCH($A41, '1_DCS_numerator_by_BEA'!$A$2:$A$74,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IFERROR(INDEX('1_DCS_numerator_by_BEA'!$B$2:$B$74, MATCH($A42, '1_DCS_numerator_by_BEA'!$A$2:$A$74,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IFERROR(INDEX('1_DCS_numerator_by_BEA'!$B$2:$B$74, MATCH($A43, '1_DCS_numerator_by_BEA'!$A$2:$A$74,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IFERROR(INDEX('1_DCS_numerator_by_BEA'!$B$2:$B$74, MATCH($A44, '1_DCS_numerator_by_BEA'!$A$2:$A$74,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IFERROR(INDEX('1_DCS_numerator_by_BEA'!$B$2:$B$74, MATCH($A45, '1_DCS_numerator_by_BEA'!$A$2:$A$74,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IFERROR(INDEX('1_DCS_numerator_by_BEA'!$B$2:$B$74, MATCH($A46, '1_DCS_numerator_by_BEA'!$A$2:$A$74,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IFERROR(INDEX('1_DCS_numerator_by_BEA'!$B$2:$B$74, MATCH($A47, '1_DCS_numerator_by_BEA'!$A$2:$A$74,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IFERROR(INDEX('1_DCS_numerator_by_BEA'!$B$2:$B$74, MATCH($A48, '1_DCS_numerator_by_BEA'!$A$2:$A$74,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IFERROR(INDEX('1_DCS_numerator_by_BEA'!$B$2:$B$74, MATCH($A49, '1_DCS_numerator_by_BEA'!$A$2:$A$74,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IFERROR(INDEX('1_DCS_numerator_by_BEA'!$B$2:$B$74, MATCH($A50, '1_DCS_numerator_by_BEA'!$A$2:$A$74,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IFERROR(INDEX('1_DCS_numerator_by_BEA'!$B$2:$B$74, MATCH($A51, '1_DCS_numerator_by_BEA'!$A$2:$A$74,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IFERROR(INDEX('1_DCS_numerator_by_BEA'!$B$2:$B$74, MATCH($A52, '1_DCS_numerator_by_BEA'!$A$2:$A$74,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IFERROR(INDEX('1_DCS_numerator_by_BEA'!$B$2:$B$74, MATCH($A53, '1_DCS_numerator_by_BEA'!$A$2:$A$74,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IFERROR(INDEX('1_DCS_numerator_by_BEA'!$B$2:$B$74, MATCH($A54, '1_DCS_numerator_by_BEA'!$A$2:$A$74,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IFERROR(INDEX('1_DCS_numerator_by_BEA'!$B$2:$B$74, MATCH($A55, '1_DCS_numerator_by_BEA'!$A$2:$A$74,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IFERROR(INDEX('1_DCS_numerator_by_BEA'!$B$2:$B$74, MATCH($A56, '1_DCS_numerator_by_BEA'!$A$2:$A$74,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IFERROR(INDEX('1_DCS_numerator_by_BEA'!$B$2:$B$74, MATCH($A57, '1_DCS_numerator_by_BEA'!$A$2:$A$74,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IFERROR(INDEX('1_DCS_numerator_by_BEA'!$B$2:$B$74, MATCH($A58, '1_DCS_numerator_by_BEA'!$A$2:$A$74,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IFERROR(INDEX('1_DCS_numerator_by_BEA'!$B$2:$B$74, MATCH($A59, '1_DCS_numerator_by_BEA'!$A$2:$A$74,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IFERROR(INDEX('1_DCS_numerator_by_BEA'!$B$2:$B$74, MATCH($A60, '1_DCS_numerator_by_BEA'!$A$2:$A$74,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IFERROR(INDEX('1_DCS_numerator_by_BEA'!$B$2:$B$74, MATCH($A61, '1_DCS_numerator_by_BEA'!$A$2:$A$74,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IFERROR(INDEX('1_DCS_numerator_by_BEA'!$B$2:$B$74, MATCH($A62, '1_DCS_numerator_by_BEA'!$A$2:$A$74,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IFERROR(INDEX('1_DCS_numerator_by_BEA'!$B$2:$B$74, MATCH($A63, '1_DCS_numerator_by_BEA'!$A$2:$A$74,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IFERROR(INDEX('1_DCS_numerator_by_BEA'!$B$2:$B$74, MATCH($A64, '1_DCS_numerator_by_BEA'!$A$2:$A$74,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IFERROR(INDEX('1_DCS_numerator_by_BEA'!$B$2:$B$74, MATCH($A65, '1_DCS_numerator_by_BEA'!$A$2:$A$74,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IFERROR(INDEX('1_DCS_numerator_by_BEA'!$B$2:$B$74, MATCH($A66, '1_DCS_numerator_by_BEA'!$A$2:$A$74,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IFERROR(INDEX('1_DCS_numerator_by_BEA'!$B$2:$B$74, MATCH($A67, '1_DCS_numerator_by_BEA'!$A$2:$A$74,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IFERROR(INDEX('1_DCS_numerator_by_BEA'!$B$2:$B$74, MATCH($A68, '1_DCS_numerator_by_BEA'!$A$2:$A$74,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IFERROR(INDEX('1_DCS_numerator_by_BEA'!$B$2:$B$74, MATCH($A69, '1_DCS_numerator_by_BEA'!$A$2:$A$74,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IFERROR(INDEX('1_DCS_numerator_by_BEA'!$B$2:$B$74, MATCH($A70, '1_DCS_numerator_by_BEA'!$A$2:$A$74,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IFERROR(INDEX('1_DCS_numerator_by_BEA'!$B$2:$B$74, MATCH($A71, '1_DCS_numerator_by_BEA'!$A$2:$A$74,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IFERROR(INDEX('1_DCS_numerator_by_BEA'!$B$2:$B$74, MATCH($A72, '1_DCS_numerator_by_BEA'!$A$2:$A$74,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IFERROR(INDEX('1_DCS_numerator_by_BEA'!$B$2:$B$74, MATCH($A73, '1_DCS_numerator_by_BEA'!$A$2:$A$74,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IFERROR(INDEX('1_DCS_numerator_by_BEA'!$B$2:$B$74, MATCH($A74, '1_DCS_numerator_by_BEA'!$A$2:$A$74,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IFERROR(INDEX('1_DCS_numerator_by_BEA'!$B$2:$B$74, MATCH($A75, '1_DCS_numerator_by_BEA'!$A$2:$A$74,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IFERROR(INDEX('1_DCS_numerator_by_BEA'!$B$2:$B$74, MATCH($A76, '1_DCS_numerator_by_BEA'!$A$2:$A$74,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IFERROR(INDEX('1_DCS_numerator_by_BEA'!$B$2:$B$74, MATCH($A77, '1_DCS_numerator_by_BEA'!$A$2:$A$74,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IFERROR(INDEX('1_DCS_numerator_by_BEA'!$B$2:$B$74, MATCH($A78, '1_DCS_numerator_by_BEA'!$A$2:$A$74,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IFERROR(INDEX('1_DCS_numerator_by_BEA'!$B$2:$B$74, MATCH($A79, '1_DCS_numerator_by_BEA'!$A$2:$A$74,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IFERROR(INDEX('1_DCS_numerator_by_BEA'!$B$2:$B$74, MATCH($A80, '1_DCS_numerator_by_BEA'!$A$2:$A$74,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IFERROR(INDEX('1_DCS_numerator_by_BEA'!$B$2:$B$74, MATCH($A81, '1_DCS_numerator_by_BEA'!$A$2:$A$74,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SUMIFS('6_Calc_DCS_num_ISIC'!$E$3:$E$81, '6_Calc_DCS_num_ISIC'!$B$3:$B$81, $A85)</f>
      </c>
      <c r="C85" t="str">
        <f>B85</f>
      </c>
    </row>
    <row r="86">
      <c r="A86" t="s">
        <v>482</v>
      </c>
      <c r="B86" t="str">
        <f>SUMIFS('6_Calc_DCS_num_ISIC'!$E$3:$E$81, '6_Calc_DCS_num_ISIC'!$B$3:$B$81, $A86)</f>
      </c>
      <c r="C86" t="str">
        <f>B86</f>
      </c>
    </row>
    <row r="87">
      <c r="A87" t="s">
        <v>344</v>
      </c>
      <c r="B87" t="str">
        <f>SUMIFS('6_Calc_DCS_num_ISIC'!$E$3:$E$81, '6_Calc_DCS_num_ISIC'!$B$3:$B$81, $A87)</f>
      </c>
      <c r="C87" t="str">
        <f>B87</f>
      </c>
    </row>
    <row r="88">
      <c r="A88" t="s">
        <v>485</v>
      </c>
      <c r="B88" t="str">
        <f>SUMIFS('6_Calc_DCS_num_ISIC'!$E$3:$E$81, '6_Calc_DCS_num_ISIC'!$B$3:$B$81, $A88)</f>
      </c>
      <c r="C88" t="str">
        <f>B88</f>
      </c>
    </row>
    <row r="89">
      <c r="A89" t="s">
        <v>347</v>
      </c>
      <c r="B89" t="str">
        <f>SUMIFS('6_Calc_DCS_num_ISIC'!$E$3:$E$81, '6_Calc_DCS_num_ISIC'!$B$3:$B$81, $A89)</f>
      </c>
      <c r="C89" t="str">
        <f>B89</f>
      </c>
    </row>
    <row r="90">
      <c r="A90" t="s">
        <v>362</v>
      </c>
      <c r="B90" t="str">
        <f>SUMIFS('6_Calc_DCS_num_ISIC'!$E$3:$E$81, '6_Calc_DCS_num_ISIC'!$B$3:$B$81, $A90)</f>
      </c>
      <c r="C90" t="str">
        <f>B90</f>
      </c>
    </row>
    <row r="91">
      <c r="A91" t="s">
        <v>365</v>
      </c>
      <c r="B91" t="str">
        <f>SUMIFS('6_Calc_DCS_num_ISIC'!$E$3:$E$81, '6_Calc_DCS_num_ISIC'!$B$3:$B$81, $A91)</f>
      </c>
      <c r="C91" t="str">
        <f>B91</f>
      </c>
    </row>
    <row r="92">
      <c r="A92" t="s">
        <v>369</v>
      </c>
      <c r="B92" t="str">
        <f>SUMIFS('6_Calc_DCS_num_ISIC'!$E$3:$E$81, '6_Calc_DCS_num_ISIC'!$B$3:$B$81, $A92)</f>
      </c>
      <c r="C92" t="str">
        <f>B92</f>
      </c>
    </row>
    <row r="93">
      <c r="A93" t="s">
        <v>372</v>
      </c>
      <c r="B93" t="str">
        <f>SUMIFS('6_Calc_DCS_num_ISIC'!$E$3:$E$81, '6_Calc_DCS_num_ISIC'!$B$3:$B$81, $A93)</f>
      </c>
      <c r="C93" t="str">
        <f>B93</f>
      </c>
    </row>
    <row r="94">
      <c r="A94" t="s">
        <v>376</v>
      </c>
      <c r="B94" t="str">
        <f>SUMIFS('6_Calc_DCS_num_ISIC'!$E$3:$E$81, '6_Calc_DCS_num_ISIC'!$B$3:$B$81, $A94)</f>
      </c>
      <c r="C94" t="str">
        <f>B94</f>
      </c>
    </row>
    <row r="95">
      <c r="A95" t="s">
        <v>498</v>
      </c>
      <c r="B95" t="str">
        <f>SUMIFS('6_Calc_DCS_num_ISIC'!$E$3:$E$81, '6_Calc_DCS_num_ISIC'!$B$3:$B$81, $A95)</f>
      </c>
      <c r="C95" t="str">
        <f>B95</f>
      </c>
    </row>
    <row r="96">
      <c r="A96" t="s">
        <v>501</v>
      </c>
      <c r="B96" t="str">
        <f>SUMIFS('6_Calc_DCS_num_ISIC'!$E$3:$E$81, '6_Calc_DCS_num_ISIC'!$B$3:$B$81, $A96)</f>
      </c>
      <c r="C96" t="str">
        <f>B96</f>
      </c>
    </row>
    <row r="97">
      <c r="A97" t="s">
        <v>126</v>
      </c>
      <c r="B97" t="str">
        <f>SUMIFS('6_Calc_DCS_num_ISIC'!$E$3:$E$81, '6_Calc_DCS_num_ISIC'!$B$3:$B$81, $A97)</f>
      </c>
      <c r="C97" t="str">
        <f>B97</f>
      </c>
    </row>
    <row r="98">
      <c r="A98" t="s">
        <v>488</v>
      </c>
      <c r="B98" t="str">
        <f>SUMIFS('6_Calc_DCS_num_ISIC'!$E$3:$E$81, '6_Calc_DCS_num_ISIC'!$B$3:$B$81, $A98)</f>
      </c>
      <c r="C98" t="str">
        <f>B98</f>
      </c>
    </row>
    <row r="99">
      <c r="A99" t="s">
        <v>491</v>
      </c>
      <c r="B99" t="str">
        <f>SUMIFS('6_Calc_DCS_num_ISIC'!$E$3:$E$81, '6_Calc_DCS_num_ISIC'!$B$3:$B$81, $A99)</f>
      </c>
      <c r="C99" t="str">
        <f>B99</f>
      </c>
    </row>
    <row r="100">
      <c r="A100" t="s">
        <v>379</v>
      </c>
      <c r="B100" t="str">
        <f>SUMIFS('6_Calc_DCS_num_ISIC'!$E$3:$E$81, '6_Calc_DCS_num_ISIC'!$B$3:$B$81, $A100)</f>
      </c>
      <c r="C100" t="str">
        <f>B100</f>
      </c>
    </row>
    <row r="101">
      <c r="A101" t="s">
        <v>495</v>
      </c>
      <c r="B101" t="str">
        <f>SUMIFS('6_Calc_DCS_num_ISIC'!$E$3:$E$81, '6_Calc_DCS_num_ISIC'!$B$3:$B$81, $A101)</f>
      </c>
      <c r="C101" t="str">
        <f>B101</f>
      </c>
    </row>
    <row r="102">
      <c r="A102" t="s">
        <v>385</v>
      </c>
      <c r="B102" t="str">
        <f>SUMIFS('6_Calc_DCS_num_ISIC'!$E$3:$E$81, '6_Calc_DCS_num_ISIC'!$B$3:$B$81, $A102)</f>
      </c>
      <c r="C102" t="str">
        <f>B102</f>
      </c>
    </row>
    <row r="103">
      <c r="A103" t="s">
        <v>390</v>
      </c>
      <c r="B103" t="str">
        <f>SUMIFS('6_Calc_DCS_num_ISIC'!$E$3:$E$81, '6_Calc_DCS_num_ISIC'!$B$3:$B$81, $A103)</f>
      </c>
      <c r="C103" t="str">
        <f>B103</f>
      </c>
    </row>
    <row r="104">
      <c r="A104" t="s">
        <v>393</v>
      </c>
      <c r="B104" t="str">
        <f>SUMIFS('6_Calc_DCS_num_ISIC'!$E$3:$E$81, '6_Calc_DCS_num_ISIC'!$B$3:$B$81, $A104)</f>
      </c>
      <c r="C104" t="str">
        <f>B104</f>
      </c>
    </row>
    <row r="105">
      <c r="A105" t="s">
        <v>387</v>
      </c>
      <c r="B105" t="str">
        <f>SUMIFS('6_Calc_DCS_num_ISIC'!$E$3:$E$81, '6_Calc_DCS_num_ISIC'!$B$3:$B$81, $A105)</f>
      </c>
      <c r="C105" t="str">
        <f>B105</f>
      </c>
    </row>
    <row r="106">
      <c r="A106" t="s">
        <v>396</v>
      </c>
      <c r="B106" t="str">
        <f>SUMIFS('6_Calc_DCS_num_ISIC'!$E$3:$E$81, '6_Calc_DCS_num_ISIC'!$B$3:$B$81, $A106)</f>
      </c>
      <c r="C106" t="str">
        <f>B106</f>
      </c>
    </row>
    <row r="107">
      <c r="A107" t="s">
        <v>399</v>
      </c>
      <c r="B107" t="str">
        <f>SUMIFS('6_Calc_DCS_num_ISIC'!$E$3:$E$81, '6_Calc_DCS_num_ISIC'!$B$3:$B$81, $A107)</f>
      </c>
      <c r="C107" t="str">
        <f>B107</f>
      </c>
    </row>
    <row r="108">
      <c r="A108" t="s">
        <v>402</v>
      </c>
      <c r="B108" t="str">
        <f>SUMIFS('6_Calc_DCS_num_ISIC'!$E$3:$E$81, '6_Calc_DCS_num_ISIC'!$B$3:$B$81, $A108)</f>
      </c>
      <c r="C108" t="str">
        <f>B108</f>
      </c>
    </row>
    <row r="109">
      <c r="A109" t="s">
        <v>350</v>
      </c>
      <c r="B109" t="str">
        <f>SUMIFS('6_Calc_DCS_num_ISIC'!$E$3:$E$81, '6_Calc_DCS_num_ISIC'!$B$3:$B$81, $A109)</f>
      </c>
      <c r="C109" t="str">
        <f>B109</f>
      </c>
    </row>
    <row r="110">
      <c r="A110" t="s">
        <v>353</v>
      </c>
      <c r="B110" t="str">
        <f>SUMIFS('6_Calc_DCS_num_ISIC'!$E$3:$E$81, '6_Calc_DCS_num_ISIC'!$B$3:$B$81, $A110)</f>
      </c>
      <c r="C110" t="str">
        <f>B110</f>
      </c>
    </row>
    <row r="111">
      <c r="A111" t="s">
        <v>356</v>
      </c>
      <c r="B111" t="str">
        <f>SUMIFS('6_Calc_DCS_num_ISIC'!$E$3:$E$81, '6_Calc_DCS_num_ISIC'!$B$3:$B$81, $A111)</f>
      </c>
      <c r="C111" t="str">
        <f>B111</f>
      </c>
    </row>
    <row r="112">
      <c r="A112" t="s">
        <v>360</v>
      </c>
      <c r="B112" t="str">
        <f>SUMIFS('6_Calc_DCS_num_ISIC'!$E$3:$E$81, '6_Calc_DCS_num_ISIC'!$B$3:$B$81, $A112)</f>
      </c>
      <c r="C112" t="str">
        <f>B112</f>
      </c>
    </row>
    <row r="113">
      <c r="A113" t="s">
        <v>406</v>
      </c>
      <c r="B113" t="str">
        <f>SUMIFS('6_Calc_DCS_num_ISIC'!$E$3:$E$81, '6_Calc_DCS_num_ISIC'!$B$3:$B$81, $A113)</f>
      </c>
      <c r="C113" t="str">
        <f>B113</f>
      </c>
    </row>
    <row r="114">
      <c r="A114" t="s">
        <v>413</v>
      </c>
      <c r="B114" t="str">
        <f>SUMIFS('6_Calc_DCS_num_ISIC'!$E$3:$E$81, '6_Calc_DCS_num_ISIC'!$B$3:$B$81, $A114)</f>
      </c>
      <c r="C114" t="str">
        <f>B114</f>
      </c>
    </row>
    <row r="115">
      <c r="A115" t="s">
        <v>470</v>
      </c>
      <c r="B115" t="str">
        <f>SUMIFS('6_Calc_DCS_num_ISIC'!$E$3:$E$81, '6_Calc_DCS_num_ISIC'!$B$3:$B$81, $A115)</f>
      </c>
      <c r="C115" t="str">
        <f>B115</f>
      </c>
    </row>
    <row r="116">
      <c r="A116" t="s">
        <v>425</v>
      </c>
      <c r="B116" t="str">
        <f>SUMIFS('6_Calc_DCS_num_ISIC'!$E$3:$E$81, '6_Calc_DCS_num_ISIC'!$B$3:$B$81, $A116)</f>
      </c>
      <c r="C116" t="str">
        <f>B116</f>
      </c>
    </row>
    <row r="117">
      <c r="A117" t="s">
        <v>177</v>
      </c>
      <c r="B117" t="str">
        <f>SUMIFS('6_Calc_DCS_num_ISIC'!$E$3:$E$81, '6_Calc_DCS_num_ISIC'!$B$3:$B$81, $A117)</f>
      </c>
      <c r="C117" t="str">
        <f>B117</f>
      </c>
    </row>
    <row r="118">
      <c r="A118" t="s">
        <v>432</v>
      </c>
      <c r="B118" t="str">
        <f>SUMIFS('6_Calc_DCS_num_ISIC'!$E$3:$E$81, '6_Calc_DCS_num_ISIC'!$B$3:$B$81, $A118)</f>
      </c>
      <c r="C118" t="str">
        <f>B118</f>
      </c>
    </row>
    <row r="119">
      <c r="A119" t="s">
        <v>435</v>
      </c>
      <c r="B119" t="str">
        <f>SUMIFS('6_Calc_DCS_num_ISIC'!$E$3:$E$81, '6_Calc_DCS_num_ISIC'!$B$3:$B$81, $A119)</f>
      </c>
      <c r="C119" t="str">
        <f>B119</f>
      </c>
    </row>
    <row r="120">
      <c r="A120" t="s">
        <v>441</v>
      </c>
      <c r="B120" t="str">
        <f>SUMIFS('6_Calc_DCS_num_ISIC'!$E$3:$E$81, '6_Calc_DCS_num_ISIC'!$B$3:$B$81, $A120)</f>
      </c>
      <c r="C120" t="str">
        <f>B120</f>
      </c>
    </row>
    <row r="121">
      <c r="A121" t="s">
        <v>445</v>
      </c>
      <c r="B121" t="str">
        <f>SUMIFS('6_Calc_DCS_num_ISIC'!$E$3:$E$81, '6_Calc_DCS_num_ISIC'!$B$3:$B$81, $A121)</f>
      </c>
      <c r="C121" t="str">
        <f>B121</f>
      </c>
    </row>
    <row r="122">
      <c r="A122" t="s">
        <v>475</v>
      </c>
      <c r="B122" t="str">
        <f>SUMIFS('6_Calc_DCS_num_ISIC'!$E$3:$E$81, '6_Calc_DCS_num_ISIC'!$B$3:$B$81, $A122)</f>
      </c>
      <c r="C122" t="str">
        <f>B122</f>
      </c>
    </row>
    <row r="123">
      <c r="A123" t="s">
        <v>457</v>
      </c>
      <c r="B123" t="str">
        <f>SUMIFS('6_Calc_DCS_num_ISIC'!$E$3:$E$81, '6_Calc_DCS_num_ISIC'!$B$3:$B$81, $A123)</f>
      </c>
      <c r="C123" t="str">
        <f>B123</f>
      </c>
    </row>
    <row r="124">
      <c r="A124" t="s">
        <v>460</v>
      </c>
      <c r="B124" t="str">
        <f>SUMIFS('6_Calc_DCS_num_ISIC'!$E$3:$E$81, '6_Calc_DCS_num_ISIC'!$B$3:$B$81, $A124)</f>
      </c>
      <c r="C124" t="str">
        <f>B124</f>
      </c>
    </row>
    <row r="125">
      <c r="A125" t="s">
        <v>466</v>
      </c>
      <c r="B125" t="str">
        <f>SUMIFS('6_Calc_DCS_num_ISIC'!$E$3:$E$81, '6_Calc_DCS_num_ISIC'!$B$3:$B$81, $A125)</f>
      </c>
      <c r="C125" t="str">
        <f>B125</f>
      </c>
    </row>
    <row r="126">
      <c r="A126" t="s">
        <v>583</v>
      </c>
      <c r="B126" t="str">
        <f>SUMIFS('6_Calc_DCS_num_ISIC'!$E$3:$E$81, '6_Calc_DCS_num_ISIC'!$B$3:$B$81,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IFERROR(INDEX('2_DCS_denominator_by_BEA'!$B$2:$B$74, MATCH($A3, '2_DCS_denominator_by_BEA'!$A$2:$A$74,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IFERROR(INDEX('2_DCS_denominator_by_BEA'!$B$2:$B$74, MATCH($A4, '2_DCS_denominator_by_BEA'!$A$2:$A$74,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IFERROR(INDEX('2_DCS_denominator_by_BEA'!$B$2:$B$74, MATCH($A5, '2_DCS_denominator_by_BEA'!$A$2:$A$74,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IFERROR(INDEX('2_DCS_denominator_by_BEA'!$B$2:$B$74, MATCH($A6, '2_DCS_denominator_by_BEA'!$A$2:$A$74,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IFERROR(INDEX('2_DCS_denominator_by_BEA'!$B$2:$B$74, MATCH($A7, '2_DCS_denominator_by_BEA'!$A$2:$A$74,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IFERROR(INDEX('2_DCS_denominator_by_BEA'!$B$2:$B$74, MATCH($A8, '2_DCS_denominator_by_BEA'!$A$2:$A$74,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IFERROR(INDEX('2_DCS_denominator_by_BEA'!$B$2:$B$74, MATCH($A9, '2_DCS_denominator_by_BEA'!$A$2:$A$74,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IFERROR(INDEX('2_DCS_denominator_by_BEA'!$B$2:$B$74, MATCH($A10, '2_DCS_denominator_by_BEA'!$A$2:$A$74,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IFERROR(INDEX('2_DCS_denominator_by_BEA'!$B$2:$B$74, MATCH($A11, '2_DCS_denominator_by_BEA'!$A$2:$A$74,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IFERROR(INDEX('2_DCS_denominator_by_BEA'!$B$2:$B$74, MATCH($A12, '2_DCS_denominator_by_BEA'!$A$2:$A$74,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IFERROR(INDEX('2_DCS_denominator_by_BEA'!$B$2:$B$74, MATCH($A13, '2_DCS_denominator_by_BEA'!$A$2:$A$74,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IFERROR(INDEX('2_DCS_denominator_by_BEA'!$B$2:$B$74, MATCH($A14, '2_DCS_denominator_by_BEA'!$A$2:$A$74,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IFERROR(INDEX('2_DCS_denominator_by_BEA'!$B$2:$B$74, MATCH($A15, '2_DCS_denominator_by_BEA'!$A$2:$A$74,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IFERROR(INDEX('2_DCS_denominator_by_BEA'!$B$2:$B$74, MATCH($A16, '2_DCS_denominator_by_BEA'!$A$2:$A$74,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IFERROR(INDEX('2_DCS_denominator_by_BEA'!$B$2:$B$74, MATCH($A17, '2_DCS_denominator_by_BEA'!$A$2:$A$74,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IFERROR(INDEX('2_DCS_denominator_by_BEA'!$B$2:$B$74, MATCH($A18, '2_DCS_denominator_by_BEA'!$A$2:$A$74,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IFERROR(INDEX('2_DCS_denominator_by_BEA'!$B$2:$B$74, MATCH($A19, '2_DCS_denominator_by_BEA'!$A$2:$A$74,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IFERROR(INDEX('2_DCS_denominator_by_BEA'!$B$2:$B$74, MATCH($A20, '2_DCS_denominator_by_BEA'!$A$2:$A$74,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IFERROR(INDEX('2_DCS_denominator_by_BEA'!$B$2:$B$74, MATCH($A21, '2_DCS_denominator_by_BEA'!$A$2:$A$74,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IFERROR(INDEX('2_DCS_denominator_by_BEA'!$B$2:$B$74, MATCH($A22, '2_DCS_denominator_by_BEA'!$A$2:$A$74,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IFERROR(INDEX('2_DCS_denominator_by_BEA'!$B$2:$B$74, MATCH($A23, '2_DCS_denominator_by_BEA'!$A$2:$A$74,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IFERROR(INDEX('2_DCS_denominator_by_BEA'!$B$2:$B$74, MATCH($A24, '2_DCS_denominator_by_BEA'!$A$2:$A$74,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IFERROR(INDEX('2_DCS_denominator_by_BEA'!$B$2:$B$74, MATCH($A25, '2_DCS_denominator_by_BEA'!$A$2:$A$74,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IFERROR(INDEX('2_DCS_denominator_by_BEA'!$B$2:$B$74, MATCH($A26, '2_DCS_denominator_by_BEA'!$A$2:$A$74,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IFERROR(INDEX('2_DCS_denominator_by_BEA'!$B$2:$B$74, MATCH($A27, '2_DCS_denominator_by_BEA'!$A$2:$A$74,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IFERROR(INDEX('2_DCS_denominator_by_BEA'!$B$2:$B$74, MATCH($A28, '2_DCS_denominator_by_BEA'!$A$2:$A$74,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IFERROR(INDEX('2_DCS_denominator_by_BEA'!$B$2:$B$74, MATCH($A29, '2_DCS_denominator_by_BEA'!$A$2:$A$74,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IFERROR(INDEX('2_DCS_denominator_by_BEA'!$B$2:$B$74, MATCH($A30, '2_DCS_denominator_by_BEA'!$A$2:$A$74,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IFERROR(INDEX('2_DCS_denominator_by_BEA'!$B$2:$B$74, MATCH($A31, '2_DCS_denominator_by_BEA'!$A$2:$A$74,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IFERROR(INDEX('2_DCS_denominator_by_BEA'!$B$2:$B$74, MATCH($A32, '2_DCS_denominator_by_BEA'!$A$2:$A$74,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IFERROR(INDEX('2_DCS_denominator_by_BEA'!$B$2:$B$74, MATCH($A33, '2_DCS_denominator_by_BEA'!$A$2:$A$74,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IFERROR(INDEX('2_DCS_denominator_by_BEA'!$B$2:$B$74, MATCH($A34, '2_DCS_denominator_by_BEA'!$A$2:$A$74,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IFERROR(INDEX('2_DCS_denominator_by_BEA'!$B$2:$B$74, MATCH($A35, '2_DCS_denominator_by_BEA'!$A$2:$A$74,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IFERROR(INDEX('2_DCS_denominator_by_BEA'!$B$2:$B$74, MATCH($A36, '2_DCS_denominator_by_BEA'!$A$2:$A$74,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IFERROR(INDEX('2_DCS_denominator_by_BEA'!$B$2:$B$74, MATCH($A37, '2_DCS_denominator_by_BEA'!$A$2:$A$74,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IFERROR(INDEX('2_DCS_denominator_by_BEA'!$B$2:$B$74, MATCH($A38, '2_DCS_denominator_by_BEA'!$A$2:$A$74,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IFERROR(INDEX('2_DCS_denominator_by_BEA'!$B$2:$B$74, MATCH($A39, '2_DCS_denominator_by_BEA'!$A$2:$A$74,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IFERROR(INDEX('2_DCS_denominator_by_BEA'!$B$2:$B$74, MATCH($A40, '2_DCS_denominator_by_BEA'!$A$2:$A$74,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IFERROR(INDEX('2_DCS_denominator_by_BEA'!$B$2:$B$74, MATCH($A41, '2_DCS_denominator_by_BEA'!$A$2:$A$74,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IFERROR(INDEX('2_DCS_denominator_by_BEA'!$B$2:$B$74, MATCH($A42, '2_DCS_denominator_by_BEA'!$A$2:$A$74,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IFERROR(INDEX('2_DCS_denominator_by_BEA'!$B$2:$B$74, MATCH($A43, '2_DCS_denominator_by_BEA'!$A$2:$A$74,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IFERROR(INDEX('2_DCS_denominator_by_BEA'!$B$2:$B$74, MATCH($A44, '2_DCS_denominator_by_BEA'!$A$2:$A$74,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IFERROR(INDEX('2_DCS_denominator_by_BEA'!$B$2:$B$74, MATCH($A45, '2_DCS_denominator_by_BEA'!$A$2:$A$74,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IFERROR(INDEX('2_DCS_denominator_by_BEA'!$B$2:$B$74, MATCH($A46, '2_DCS_denominator_by_BEA'!$A$2:$A$74,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IFERROR(INDEX('2_DCS_denominator_by_BEA'!$B$2:$B$74, MATCH($A47, '2_DCS_denominator_by_BEA'!$A$2:$A$74,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IFERROR(INDEX('2_DCS_denominator_by_BEA'!$B$2:$B$74, MATCH($A48, '2_DCS_denominator_by_BEA'!$A$2:$A$74,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IFERROR(INDEX('2_DCS_denominator_by_BEA'!$B$2:$B$74, MATCH($A49, '2_DCS_denominator_by_BEA'!$A$2:$A$74,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IFERROR(INDEX('2_DCS_denominator_by_BEA'!$B$2:$B$74, MATCH($A50, '2_DCS_denominator_by_BEA'!$A$2:$A$74,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IFERROR(INDEX('2_DCS_denominator_by_BEA'!$B$2:$B$74, MATCH($A51, '2_DCS_denominator_by_BEA'!$A$2:$A$74,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IFERROR(INDEX('2_DCS_denominator_by_BEA'!$B$2:$B$74, MATCH($A52, '2_DCS_denominator_by_BEA'!$A$2:$A$74,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IFERROR(INDEX('2_DCS_denominator_by_BEA'!$B$2:$B$74, MATCH($A53, '2_DCS_denominator_by_BEA'!$A$2:$A$74,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IFERROR(INDEX('2_DCS_denominator_by_BEA'!$B$2:$B$74, MATCH($A54, '2_DCS_denominator_by_BEA'!$A$2:$A$74,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IFERROR(INDEX('2_DCS_denominator_by_BEA'!$B$2:$B$74, MATCH($A55, '2_DCS_denominator_by_BEA'!$A$2:$A$74,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IFERROR(INDEX('2_DCS_denominator_by_BEA'!$B$2:$B$74, MATCH($A56, '2_DCS_denominator_by_BEA'!$A$2:$A$74,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IFERROR(INDEX('2_DCS_denominator_by_BEA'!$B$2:$B$74, MATCH($A57, '2_DCS_denominator_by_BEA'!$A$2:$A$74,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IFERROR(INDEX('2_DCS_denominator_by_BEA'!$B$2:$B$74, MATCH($A58, '2_DCS_denominator_by_BEA'!$A$2:$A$74,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IFERROR(INDEX('2_DCS_denominator_by_BEA'!$B$2:$B$74, MATCH($A59, '2_DCS_denominator_by_BEA'!$A$2:$A$74,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IFERROR(INDEX('2_DCS_denominator_by_BEA'!$B$2:$B$74, MATCH($A60, '2_DCS_denominator_by_BEA'!$A$2:$A$74,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IFERROR(INDEX('2_DCS_denominator_by_BEA'!$B$2:$B$74, MATCH($A61, '2_DCS_denominator_by_BEA'!$A$2:$A$74,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IFERROR(INDEX('2_DCS_denominator_by_BEA'!$B$2:$B$74, MATCH($A62, '2_DCS_denominator_by_BEA'!$A$2:$A$74,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IFERROR(INDEX('2_DCS_denominator_by_BEA'!$B$2:$B$74, MATCH($A63, '2_DCS_denominator_by_BEA'!$A$2:$A$74,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IFERROR(INDEX('2_DCS_denominator_by_BEA'!$B$2:$B$74, MATCH($A64, '2_DCS_denominator_by_BEA'!$A$2:$A$74,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IFERROR(INDEX('2_DCS_denominator_by_BEA'!$B$2:$B$74, MATCH($A65, '2_DCS_denominator_by_BEA'!$A$2:$A$74,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IFERROR(INDEX('2_DCS_denominator_by_BEA'!$B$2:$B$74, MATCH($A66, '2_DCS_denominator_by_BEA'!$A$2:$A$74,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IFERROR(INDEX('2_DCS_denominator_by_BEA'!$B$2:$B$74, MATCH($A67, '2_DCS_denominator_by_BEA'!$A$2:$A$74,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IFERROR(INDEX('2_DCS_denominator_by_BEA'!$B$2:$B$74, MATCH($A68, '2_DCS_denominator_by_BEA'!$A$2:$A$74,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IFERROR(INDEX('2_DCS_denominator_by_BEA'!$B$2:$B$74, MATCH($A69, '2_DCS_denominator_by_BEA'!$A$2:$A$74,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IFERROR(INDEX('2_DCS_denominator_by_BEA'!$B$2:$B$74, MATCH($A70, '2_DCS_denominator_by_BEA'!$A$2:$A$74,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IFERROR(INDEX('2_DCS_denominator_by_BEA'!$B$2:$B$74, MATCH($A71, '2_DCS_denominator_by_BEA'!$A$2:$A$74,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IFERROR(INDEX('2_DCS_denominator_by_BEA'!$B$2:$B$74, MATCH($A72, '2_DCS_denominator_by_BEA'!$A$2:$A$74,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IFERROR(INDEX('2_DCS_denominator_by_BEA'!$B$2:$B$74, MATCH($A73, '2_DCS_denominator_by_BEA'!$A$2:$A$74,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IFERROR(INDEX('2_DCS_denominator_by_BEA'!$B$2:$B$74, MATCH($A74, '2_DCS_denominator_by_BEA'!$A$2:$A$74,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IFERROR(INDEX('2_DCS_denominator_by_BEA'!$B$2:$B$74, MATCH($A75, '2_DCS_denominator_by_BEA'!$A$2:$A$74,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IFERROR(INDEX('2_DCS_denominator_by_BEA'!$B$2:$B$74, MATCH($A76, '2_DCS_denominator_by_BEA'!$A$2:$A$74,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IFERROR(INDEX('2_DCS_denominator_by_BEA'!$B$2:$B$74, MATCH($A77, '2_DCS_denominator_by_BEA'!$A$2:$A$74,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IFERROR(INDEX('2_DCS_denominator_by_BEA'!$B$2:$B$74, MATCH($A78, '2_DCS_denominator_by_BEA'!$A$2:$A$74,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IFERROR(INDEX('2_DCS_denominator_by_BEA'!$B$2:$B$74, MATCH($A79, '2_DCS_denominator_by_BEA'!$A$2:$A$74,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IFERROR(INDEX('2_DCS_denominator_by_BEA'!$B$2:$B$74, MATCH($A80, '2_DCS_denominator_by_BEA'!$A$2:$A$74,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IFERROR(INDEX('2_DCS_denominator_by_BEA'!$B$2:$B$74, MATCH($A81, '2_DCS_denominator_by_BEA'!$A$2:$A$74,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SUMIFS('7_Calc_DCS_den_ISIC'!$E$3:$E$81, '7_Calc_DCS_den_ISIC'!$B$3:$B$81, $A85)</f>
      </c>
      <c r="C85" t="str">
        <f>B85</f>
      </c>
    </row>
    <row r="86">
      <c r="A86" t="s">
        <v>482</v>
      </c>
      <c r="B86" t="str">
        <f>SUMIFS('7_Calc_DCS_den_ISIC'!$E$3:$E$81, '7_Calc_DCS_den_ISIC'!$B$3:$B$81, $A86)</f>
      </c>
      <c r="C86" t="str">
        <f>B86</f>
      </c>
    </row>
    <row r="87">
      <c r="A87" t="s">
        <v>344</v>
      </c>
      <c r="B87" t="str">
        <f>SUMIFS('7_Calc_DCS_den_ISIC'!$E$3:$E$81, '7_Calc_DCS_den_ISIC'!$B$3:$B$81, $A87)</f>
      </c>
      <c r="C87" t="str">
        <f>B87</f>
      </c>
    </row>
    <row r="88">
      <c r="A88" t="s">
        <v>485</v>
      </c>
      <c r="B88" t="str">
        <f>SUMIFS('7_Calc_DCS_den_ISIC'!$E$3:$E$81, '7_Calc_DCS_den_ISIC'!$B$3:$B$81, $A88)</f>
      </c>
      <c r="C88" t="str">
        <f>B88</f>
      </c>
    </row>
    <row r="89">
      <c r="A89" t="s">
        <v>347</v>
      </c>
      <c r="B89" t="str">
        <f>SUMIFS('7_Calc_DCS_den_ISIC'!$E$3:$E$81, '7_Calc_DCS_den_ISIC'!$B$3:$B$81, $A89)</f>
      </c>
      <c r="C89" t="str">
        <f>B89</f>
      </c>
    </row>
    <row r="90">
      <c r="A90" t="s">
        <v>362</v>
      </c>
      <c r="B90" t="str">
        <f>SUMIFS('7_Calc_DCS_den_ISIC'!$E$3:$E$81, '7_Calc_DCS_den_ISIC'!$B$3:$B$81, $A90)</f>
      </c>
      <c r="C90" t="str">
        <f>B90</f>
      </c>
    </row>
    <row r="91">
      <c r="A91" t="s">
        <v>365</v>
      </c>
      <c r="B91" t="str">
        <f>SUMIFS('7_Calc_DCS_den_ISIC'!$E$3:$E$81, '7_Calc_DCS_den_ISIC'!$B$3:$B$81, $A91)</f>
      </c>
      <c r="C91" t="str">
        <f>B91</f>
      </c>
    </row>
    <row r="92">
      <c r="A92" t="s">
        <v>369</v>
      </c>
      <c r="B92" t="str">
        <f>SUMIFS('7_Calc_DCS_den_ISIC'!$E$3:$E$81, '7_Calc_DCS_den_ISIC'!$B$3:$B$81, $A92)</f>
      </c>
      <c r="C92" t="str">
        <f>B92</f>
      </c>
    </row>
    <row r="93">
      <c r="A93" t="s">
        <v>372</v>
      </c>
      <c r="B93" t="str">
        <f>SUMIFS('7_Calc_DCS_den_ISIC'!$E$3:$E$81, '7_Calc_DCS_den_ISIC'!$B$3:$B$81, $A93)</f>
      </c>
      <c r="C93" t="str">
        <f>B93</f>
      </c>
    </row>
    <row r="94">
      <c r="A94" t="s">
        <v>376</v>
      </c>
      <c r="B94" t="str">
        <f>SUMIFS('7_Calc_DCS_den_ISIC'!$E$3:$E$81, '7_Calc_DCS_den_ISIC'!$B$3:$B$81, $A94)</f>
      </c>
      <c r="C94" t="str">
        <f>B94</f>
      </c>
    </row>
    <row r="95">
      <c r="A95" t="s">
        <v>498</v>
      </c>
      <c r="B95" t="str">
        <f>SUMIFS('7_Calc_DCS_den_ISIC'!$E$3:$E$81, '7_Calc_DCS_den_ISIC'!$B$3:$B$81, $A95)</f>
      </c>
      <c r="C95" t="str">
        <f>B95</f>
      </c>
    </row>
    <row r="96">
      <c r="A96" t="s">
        <v>501</v>
      </c>
      <c r="B96" t="str">
        <f>SUMIFS('7_Calc_DCS_den_ISIC'!$E$3:$E$81, '7_Calc_DCS_den_ISIC'!$B$3:$B$81, $A96)</f>
      </c>
      <c r="C96" t="str">
        <f>B96</f>
      </c>
    </row>
    <row r="97">
      <c r="A97" t="s">
        <v>126</v>
      </c>
      <c r="B97" t="str">
        <f>SUMIFS('7_Calc_DCS_den_ISIC'!$E$3:$E$81, '7_Calc_DCS_den_ISIC'!$B$3:$B$81, $A97)</f>
      </c>
      <c r="C97" t="str">
        <f>B97</f>
      </c>
    </row>
    <row r="98">
      <c r="A98" t="s">
        <v>488</v>
      </c>
      <c r="B98" t="str">
        <f>SUMIFS('7_Calc_DCS_den_ISIC'!$E$3:$E$81, '7_Calc_DCS_den_ISIC'!$B$3:$B$81, $A98)</f>
      </c>
      <c r="C98" t="str">
        <f>B98</f>
      </c>
    </row>
    <row r="99">
      <c r="A99" t="s">
        <v>491</v>
      </c>
      <c r="B99" t="str">
        <f>SUMIFS('7_Calc_DCS_den_ISIC'!$E$3:$E$81, '7_Calc_DCS_den_ISIC'!$B$3:$B$81, $A99)</f>
      </c>
      <c r="C99" t="str">
        <f>B99</f>
      </c>
    </row>
    <row r="100">
      <c r="A100" t="s">
        <v>379</v>
      </c>
      <c r="B100" t="str">
        <f>SUMIFS('7_Calc_DCS_den_ISIC'!$E$3:$E$81, '7_Calc_DCS_den_ISIC'!$B$3:$B$81, $A100)</f>
      </c>
      <c r="C100" t="str">
        <f>B100</f>
      </c>
    </row>
    <row r="101">
      <c r="A101" t="s">
        <v>495</v>
      </c>
      <c r="B101" t="str">
        <f>SUMIFS('7_Calc_DCS_den_ISIC'!$E$3:$E$81, '7_Calc_DCS_den_ISIC'!$B$3:$B$81, $A101)</f>
      </c>
      <c r="C101" t="str">
        <f>B101</f>
      </c>
    </row>
    <row r="102">
      <c r="A102" t="s">
        <v>385</v>
      </c>
      <c r="B102" t="str">
        <f>SUMIFS('7_Calc_DCS_den_ISIC'!$E$3:$E$81, '7_Calc_DCS_den_ISIC'!$B$3:$B$81, $A102)</f>
      </c>
      <c r="C102" t="str">
        <f>B102</f>
      </c>
    </row>
    <row r="103">
      <c r="A103" t="s">
        <v>390</v>
      </c>
      <c r="B103" t="str">
        <f>SUMIFS('7_Calc_DCS_den_ISIC'!$E$3:$E$81, '7_Calc_DCS_den_ISIC'!$B$3:$B$81, $A103)</f>
      </c>
      <c r="C103" t="str">
        <f>B103</f>
      </c>
    </row>
    <row r="104">
      <c r="A104" t="s">
        <v>393</v>
      </c>
      <c r="B104" t="str">
        <f>SUMIFS('7_Calc_DCS_den_ISIC'!$E$3:$E$81, '7_Calc_DCS_den_ISIC'!$B$3:$B$81, $A104)</f>
      </c>
      <c r="C104" t="str">
        <f>B104</f>
      </c>
    </row>
    <row r="105">
      <c r="A105" t="s">
        <v>387</v>
      </c>
      <c r="B105" t="str">
        <f>SUMIFS('7_Calc_DCS_den_ISIC'!$E$3:$E$81, '7_Calc_DCS_den_ISIC'!$B$3:$B$81, $A105)</f>
      </c>
      <c r="C105" t="str">
        <f>B105</f>
      </c>
    </row>
    <row r="106">
      <c r="A106" t="s">
        <v>396</v>
      </c>
      <c r="B106" t="str">
        <f>SUMIFS('7_Calc_DCS_den_ISIC'!$E$3:$E$81, '7_Calc_DCS_den_ISIC'!$B$3:$B$81, $A106)</f>
      </c>
      <c r="C106" t="str">
        <f>B106</f>
      </c>
    </row>
    <row r="107">
      <c r="A107" t="s">
        <v>399</v>
      </c>
      <c r="B107" t="str">
        <f>SUMIFS('7_Calc_DCS_den_ISIC'!$E$3:$E$81, '7_Calc_DCS_den_ISIC'!$B$3:$B$81, $A107)</f>
      </c>
      <c r="C107" t="str">
        <f>B107</f>
      </c>
    </row>
    <row r="108">
      <c r="A108" t="s">
        <v>402</v>
      </c>
      <c r="B108" t="str">
        <f>SUMIFS('7_Calc_DCS_den_ISIC'!$E$3:$E$81, '7_Calc_DCS_den_ISIC'!$B$3:$B$81, $A108)</f>
      </c>
      <c r="C108" t="str">
        <f>B108</f>
      </c>
    </row>
    <row r="109">
      <c r="A109" t="s">
        <v>350</v>
      </c>
      <c r="B109" t="str">
        <f>SUMIFS('7_Calc_DCS_den_ISIC'!$E$3:$E$81, '7_Calc_DCS_den_ISIC'!$B$3:$B$81, $A109)</f>
      </c>
      <c r="C109" t="str">
        <f>B109</f>
      </c>
    </row>
    <row r="110">
      <c r="A110" t="s">
        <v>353</v>
      </c>
      <c r="B110" t="str">
        <f>SUMIFS('7_Calc_DCS_den_ISIC'!$E$3:$E$81, '7_Calc_DCS_den_ISIC'!$B$3:$B$81, $A110)</f>
      </c>
      <c r="C110" t="str">
        <f>B110</f>
      </c>
    </row>
    <row r="111">
      <c r="A111" t="s">
        <v>356</v>
      </c>
      <c r="B111" t="str">
        <f>SUMIFS('7_Calc_DCS_den_ISIC'!$E$3:$E$81, '7_Calc_DCS_den_ISIC'!$B$3:$B$81, $A111)</f>
      </c>
      <c r="C111" t="str">
        <f>B111</f>
      </c>
    </row>
    <row r="112">
      <c r="A112" t="s">
        <v>360</v>
      </c>
      <c r="B112" t="str">
        <f>SUMIFS('7_Calc_DCS_den_ISIC'!$E$3:$E$81, '7_Calc_DCS_den_ISIC'!$B$3:$B$81, $A112)</f>
      </c>
      <c r="C112" t="str">
        <f>B112</f>
      </c>
    </row>
    <row r="113">
      <c r="A113" t="s">
        <v>406</v>
      </c>
      <c r="B113" t="str">
        <f>SUMIFS('7_Calc_DCS_den_ISIC'!$E$3:$E$81, '7_Calc_DCS_den_ISIC'!$B$3:$B$81, $A113)</f>
      </c>
      <c r="C113" t="str">
        <f>B113</f>
      </c>
    </row>
    <row r="114">
      <c r="A114" t="s">
        <v>413</v>
      </c>
      <c r="B114" t="str">
        <f>SUMIFS('7_Calc_DCS_den_ISIC'!$E$3:$E$81, '7_Calc_DCS_den_ISIC'!$B$3:$B$81, $A114)</f>
      </c>
      <c r="C114" t="str">
        <f>B114</f>
      </c>
    </row>
    <row r="115">
      <c r="A115" t="s">
        <v>470</v>
      </c>
      <c r="B115" t="str">
        <f>SUMIFS('7_Calc_DCS_den_ISIC'!$E$3:$E$81, '7_Calc_DCS_den_ISIC'!$B$3:$B$81, $A115)</f>
      </c>
      <c r="C115" t="str">
        <f>B115</f>
      </c>
    </row>
    <row r="116">
      <c r="A116" t="s">
        <v>425</v>
      </c>
      <c r="B116" t="str">
        <f>SUMIFS('7_Calc_DCS_den_ISIC'!$E$3:$E$81, '7_Calc_DCS_den_ISIC'!$B$3:$B$81, $A116)</f>
      </c>
      <c r="C116" t="str">
        <f>B116</f>
      </c>
    </row>
    <row r="117">
      <c r="A117" t="s">
        <v>177</v>
      </c>
      <c r="B117" t="str">
        <f>SUMIFS('7_Calc_DCS_den_ISIC'!$E$3:$E$81, '7_Calc_DCS_den_ISIC'!$B$3:$B$81, $A117)</f>
      </c>
      <c r="C117" t="str">
        <f>B117</f>
      </c>
    </row>
    <row r="118">
      <c r="A118" t="s">
        <v>432</v>
      </c>
      <c r="B118" t="str">
        <f>SUMIFS('7_Calc_DCS_den_ISIC'!$E$3:$E$81, '7_Calc_DCS_den_ISIC'!$B$3:$B$81, $A118)</f>
      </c>
      <c r="C118" t="str">
        <f>B118</f>
      </c>
    </row>
    <row r="119">
      <c r="A119" t="s">
        <v>435</v>
      </c>
      <c r="B119" t="str">
        <f>SUMIFS('7_Calc_DCS_den_ISIC'!$E$3:$E$81, '7_Calc_DCS_den_ISIC'!$B$3:$B$81, $A119)</f>
      </c>
      <c r="C119" t="str">
        <f>B119</f>
      </c>
    </row>
    <row r="120">
      <c r="A120" t="s">
        <v>441</v>
      </c>
      <c r="B120" t="str">
        <f>SUMIFS('7_Calc_DCS_den_ISIC'!$E$3:$E$81, '7_Calc_DCS_den_ISIC'!$B$3:$B$81, $A120)</f>
      </c>
      <c r="C120" t="str">
        <f>B120</f>
      </c>
    </row>
    <row r="121">
      <c r="A121" t="s">
        <v>445</v>
      </c>
      <c r="B121" t="str">
        <f>SUMIFS('7_Calc_DCS_den_ISIC'!$E$3:$E$81, '7_Calc_DCS_den_ISIC'!$B$3:$B$81, $A121)</f>
      </c>
      <c r="C121" t="str">
        <f>B121</f>
      </c>
    </row>
    <row r="122">
      <c r="A122" t="s">
        <v>475</v>
      </c>
      <c r="B122" t="str">
        <f>SUMIFS('7_Calc_DCS_den_ISIC'!$E$3:$E$81, '7_Calc_DCS_den_ISIC'!$B$3:$B$81, $A122)</f>
      </c>
      <c r="C122" t="str">
        <f>B122</f>
      </c>
    </row>
    <row r="123">
      <c r="A123" t="s">
        <v>457</v>
      </c>
      <c r="B123" t="str">
        <f>SUMIFS('7_Calc_DCS_den_ISIC'!$E$3:$E$81, '7_Calc_DCS_den_ISIC'!$B$3:$B$81, $A123)</f>
      </c>
      <c r="C123" t="str">
        <f>B123</f>
      </c>
    </row>
    <row r="124">
      <c r="A124" t="s">
        <v>460</v>
      </c>
      <c r="B124" t="str">
        <f>SUMIFS('7_Calc_DCS_den_ISIC'!$E$3:$E$81, '7_Calc_DCS_den_ISIC'!$B$3:$B$81, $A124)</f>
      </c>
      <c r="C124" t="str">
        <f>B124</f>
      </c>
    </row>
    <row r="125">
      <c r="A125" t="s">
        <v>466</v>
      </c>
      <c r="B125" t="str">
        <f>SUMIFS('7_Calc_DCS_den_ISIC'!$E$3:$E$81, '7_Calc_DCS_den_ISIC'!$B$3:$B$81, $A125)</f>
      </c>
      <c r="C125" t="str">
        <f>B125</f>
      </c>
    </row>
    <row r="126">
      <c r="A126" t="s">
        <v>583</v>
      </c>
      <c r="B126" t="str">
        <f>SUMIFS('7_Calc_DCS_den_ISIC'!$E$3:$E$81, '7_Calc_DCS_den_ISIC'!$B$3:$B$81,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IFERROR(INDEX('5_Exp_total_by_BEA'!$B$2:$B$74, MATCH($A3, '5_Exp_total_by_BEA'!$A$2:$A$74,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IFERROR(INDEX('5_Exp_total_by_BEA'!$B$2:$B$74, MATCH($A4, '5_Exp_total_by_BEA'!$A$2:$A$74,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IFERROR(INDEX('5_Exp_total_by_BEA'!$B$2:$B$74, MATCH($A5, '5_Exp_total_by_BEA'!$A$2:$A$74,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IFERROR(INDEX('5_Exp_total_by_BEA'!$B$2:$B$74, MATCH($A6, '5_Exp_total_by_BEA'!$A$2:$A$74,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IFERROR(INDEX('5_Exp_total_by_BEA'!$B$2:$B$74, MATCH($A7, '5_Exp_total_by_BEA'!$A$2:$A$74,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IFERROR(INDEX('5_Exp_total_by_BEA'!$B$2:$B$74, MATCH($A8, '5_Exp_total_by_BEA'!$A$2:$A$74,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IFERROR(INDEX('5_Exp_total_by_BEA'!$B$2:$B$74, MATCH($A9, '5_Exp_total_by_BEA'!$A$2:$A$74,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IFERROR(INDEX('5_Exp_total_by_BEA'!$B$2:$B$74, MATCH($A10, '5_Exp_total_by_BEA'!$A$2:$A$74,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IFERROR(INDEX('5_Exp_total_by_BEA'!$B$2:$B$74, MATCH($A11, '5_Exp_total_by_BEA'!$A$2:$A$74,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IFERROR(INDEX('5_Exp_total_by_BEA'!$B$2:$B$74, MATCH($A12, '5_Exp_total_by_BEA'!$A$2:$A$74,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IFERROR(INDEX('5_Exp_total_by_BEA'!$B$2:$B$74, MATCH($A13, '5_Exp_total_by_BEA'!$A$2:$A$74,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IFERROR(INDEX('5_Exp_total_by_BEA'!$B$2:$B$74, MATCH($A14, '5_Exp_total_by_BEA'!$A$2:$A$74,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IFERROR(INDEX('5_Exp_total_by_BEA'!$B$2:$B$74, MATCH($A15, '5_Exp_total_by_BEA'!$A$2:$A$74,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IFERROR(INDEX('5_Exp_total_by_BEA'!$B$2:$B$74, MATCH($A16, '5_Exp_total_by_BEA'!$A$2:$A$74,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IFERROR(INDEX('5_Exp_total_by_BEA'!$B$2:$B$74, MATCH($A17, '5_Exp_total_by_BEA'!$A$2:$A$74,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IFERROR(INDEX('5_Exp_total_by_BEA'!$B$2:$B$74, MATCH($A18, '5_Exp_total_by_BEA'!$A$2:$A$74,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IFERROR(INDEX('5_Exp_total_by_BEA'!$B$2:$B$74, MATCH($A19, '5_Exp_total_by_BEA'!$A$2:$A$74,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IFERROR(INDEX('5_Exp_total_by_BEA'!$B$2:$B$74, MATCH($A20, '5_Exp_total_by_BEA'!$A$2:$A$74,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IFERROR(INDEX('5_Exp_total_by_BEA'!$B$2:$B$74, MATCH($A21, '5_Exp_total_by_BEA'!$A$2:$A$74,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IFERROR(INDEX('5_Exp_total_by_BEA'!$B$2:$B$74, MATCH($A22, '5_Exp_total_by_BEA'!$A$2:$A$74,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IFERROR(INDEX('5_Exp_total_by_BEA'!$B$2:$B$74, MATCH($A23, '5_Exp_total_by_BEA'!$A$2:$A$74,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IFERROR(INDEX('5_Exp_total_by_BEA'!$B$2:$B$74, MATCH($A24, '5_Exp_total_by_BEA'!$A$2:$A$74,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IFERROR(INDEX('5_Exp_total_by_BEA'!$B$2:$B$74, MATCH($A25, '5_Exp_total_by_BEA'!$A$2:$A$74,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IFERROR(INDEX('5_Exp_total_by_BEA'!$B$2:$B$74, MATCH($A26, '5_Exp_total_by_BEA'!$A$2:$A$74,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IFERROR(INDEX('5_Exp_total_by_BEA'!$B$2:$B$74, MATCH($A27, '5_Exp_total_by_BEA'!$A$2:$A$74,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IFERROR(INDEX('5_Exp_total_by_BEA'!$B$2:$B$74, MATCH($A28, '5_Exp_total_by_BEA'!$A$2:$A$74,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IFERROR(INDEX('5_Exp_total_by_BEA'!$B$2:$B$74, MATCH($A29, '5_Exp_total_by_BEA'!$A$2:$A$74,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IFERROR(INDEX('5_Exp_total_by_BEA'!$B$2:$B$74, MATCH($A30, '5_Exp_total_by_BEA'!$A$2:$A$74,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IFERROR(INDEX('5_Exp_total_by_BEA'!$B$2:$B$74, MATCH($A31, '5_Exp_total_by_BEA'!$A$2:$A$74,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IFERROR(INDEX('5_Exp_total_by_BEA'!$B$2:$B$74, MATCH($A32, '5_Exp_total_by_BEA'!$A$2:$A$74,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IFERROR(INDEX('5_Exp_total_by_BEA'!$B$2:$B$74, MATCH($A33, '5_Exp_total_by_BEA'!$A$2:$A$74,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IFERROR(INDEX('5_Exp_total_by_BEA'!$B$2:$B$74, MATCH($A34, '5_Exp_total_by_BEA'!$A$2:$A$74,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IFERROR(INDEX('5_Exp_total_by_BEA'!$B$2:$B$74, MATCH($A35, '5_Exp_total_by_BEA'!$A$2:$A$74,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IFERROR(INDEX('5_Exp_total_by_BEA'!$B$2:$B$74, MATCH($A36, '5_Exp_total_by_BEA'!$A$2:$A$74,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IFERROR(INDEX('5_Exp_total_by_BEA'!$B$2:$B$74, MATCH($A37, '5_Exp_total_by_BEA'!$A$2:$A$74,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IFERROR(INDEX('5_Exp_total_by_BEA'!$B$2:$B$74, MATCH($A38, '5_Exp_total_by_BEA'!$A$2:$A$74,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IFERROR(INDEX('5_Exp_total_by_BEA'!$B$2:$B$74, MATCH($A39, '5_Exp_total_by_BEA'!$A$2:$A$74,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IFERROR(INDEX('5_Exp_total_by_BEA'!$B$2:$B$74, MATCH($A40, '5_Exp_total_by_BEA'!$A$2:$A$74,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IFERROR(INDEX('5_Exp_total_by_BEA'!$B$2:$B$74, MATCH($A41, '5_Exp_total_by_BEA'!$A$2:$A$74,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IFERROR(INDEX('5_Exp_total_by_BEA'!$B$2:$B$74, MATCH($A42, '5_Exp_total_by_BEA'!$A$2:$A$74,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IFERROR(INDEX('5_Exp_total_by_BEA'!$B$2:$B$74, MATCH($A43, '5_Exp_total_by_BEA'!$A$2:$A$74,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IFERROR(INDEX('5_Exp_total_by_BEA'!$B$2:$B$74, MATCH($A44, '5_Exp_total_by_BEA'!$A$2:$A$74,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IFERROR(INDEX('5_Exp_total_by_BEA'!$B$2:$B$74, MATCH($A45, '5_Exp_total_by_BEA'!$A$2:$A$74,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IFERROR(INDEX('5_Exp_total_by_BEA'!$B$2:$B$74, MATCH($A46, '5_Exp_total_by_BEA'!$A$2:$A$74,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IFERROR(INDEX('5_Exp_total_by_BEA'!$B$2:$B$74, MATCH($A47, '5_Exp_total_by_BEA'!$A$2:$A$74,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IFERROR(INDEX('5_Exp_total_by_BEA'!$B$2:$B$74, MATCH($A48, '5_Exp_total_by_BEA'!$A$2:$A$74,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IFERROR(INDEX('5_Exp_total_by_BEA'!$B$2:$B$74, MATCH($A49, '5_Exp_total_by_BEA'!$A$2:$A$74,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IFERROR(INDEX('5_Exp_total_by_BEA'!$B$2:$B$74, MATCH($A50, '5_Exp_total_by_BEA'!$A$2:$A$74,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IFERROR(INDEX('5_Exp_total_by_BEA'!$B$2:$B$74, MATCH($A51, '5_Exp_total_by_BEA'!$A$2:$A$74,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IFERROR(INDEX('5_Exp_total_by_BEA'!$B$2:$B$74, MATCH($A52, '5_Exp_total_by_BEA'!$A$2:$A$74,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IFERROR(INDEX('5_Exp_total_by_BEA'!$B$2:$B$74, MATCH($A53, '5_Exp_total_by_BEA'!$A$2:$A$74,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IFERROR(INDEX('5_Exp_total_by_BEA'!$B$2:$B$74, MATCH($A54, '5_Exp_total_by_BEA'!$A$2:$A$74,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IFERROR(INDEX('5_Exp_total_by_BEA'!$B$2:$B$74, MATCH($A55, '5_Exp_total_by_BEA'!$A$2:$A$74,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IFERROR(INDEX('5_Exp_total_by_BEA'!$B$2:$B$74, MATCH($A56, '5_Exp_total_by_BEA'!$A$2:$A$74,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IFERROR(INDEX('5_Exp_total_by_BEA'!$B$2:$B$74, MATCH($A57, '5_Exp_total_by_BEA'!$A$2:$A$74,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IFERROR(INDEX('5_Exp_total_by_BEA'!$B$2:$B$74, MATCH($A58, '5_Exp_total_by_BEA'!$A$2:$A$74,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IFERROR(INDEX('5_Exp_total_by_BEA'!$B$2:$B$74, MATCH($A59, '5_Exp_total_by_BEA'!$A$2:$A$74,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IFERROR(INDEX('5_Exp_total_by_BEA'!$B$2:$B$74, MATCH($A60, '5_Exp_total_by_BEA'!$A$2:$A$74,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IFERROR(INDEX('5_Exp_total_by_BEA'!$B$2:$B$74, MATCH($A61, '5_Exp_total_by_BEA'!$A$2:$A$74,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IFERROR(INDEX('5_Exp_total_by_BEA'!$B$2:$B$74, MATCH($A62, '5_Exp_total_by_BEA'!$A$2:$A$74,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IFERROR(INDEX('5_Exp_total_by_BEA'!$B$2:$B$74, MATCH($A63, '5_Exp_total_by_BEA'!$A$2:$A$74,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IFERROR(INDEX('5_Exp_total_by_BEA'!$B$2:$B$74, MATCH($A64, '5_Exp_total_by_BEA'!$A$2:$A$74,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IFERROR(INDEX('5_Exp_total_by_BEA'!$B$2:$B$74, MATCH($A65, '5_Exp_total_by_BEA'!$A$2:$A$74,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IFERROR(INDEX('5_Exp_total_by_BEA'!$B$2:$B$74, MATCH($A66, '5_Exp_total_by_BEA'!$A$2:$A$74,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IFERROR(INDEX('5_Exp_total_by_BEA'!$B$2:$B$74, MATCH($A67, '5_Exp_total_by_BEA'!$A$2:$A$74,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IFERROR(INDEX('5_Exp_total_by_BEA'!$B$2:$B$74, MATCH($A68, '5_Exp_total_by_BEA'!$A$2:$A$74,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IFERROR(INDEX('5_Exp_total_by_BEA'!$B$2:$B$74, MATCH($A69, '5_Exp_total_by_BEA'!$A$2:$A$74,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IFERROR(INDEX('5_Exp_total_by_BEA'!$B$2:$B$74, MATCH($A70, '5_Exp_total_by_BEA'!$A$2:$A$74,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IFERROR(INDEX('5_Exp_total_by_BEA'!$B$2:$B$74, MATCH($A71, '5_Exp_total_by_BEA'!$A$2:$A$74,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IFERROR(INDEX('5_Exp_total_by_BEA'!$B$2:$B$74, MATCH($A72, '5_Exp_total_by_BEA'!$A$2:$A$74,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IFERROR(INDEX('5_Exp_total_by_BEA'!$B$2:$B$74, MATCH($A73, '5_Exp_total_by_BEA'!$A$2:$A$74,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IFERROR(INDEX('5_Exp_total_by_BEA'!$B$2:$B$74, MATCH($A74, '5_Exp_total_by_BEA'!$A$2:$A$74,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IFERROR(INDEX('5_Exp_total_by_BEA'!$B$2:$B$74, MATCH($A75, '5_Exp_total_by_BEA'!$A$2:$A$74,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IFERROR(INDEX('5_Exp_total_by_BEA'!$B$2:$B$74, MATCH($A76, '5_Exp_total_by_BEA'!$A$2:$A$74,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IFERROR(INDEX('5_Exp_total_by_BEA'!$B$2:$B$74, MATCH($A77, '5_Exp_total_by_BEA'!$A$2:$A$74,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IFERROR(INDEX('5_Exp_total_by_BEA'!$B$2:$B$74, MATCH($A78, '5_Exp_total_by_BEA'!$A$2:$A$74,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IFERROR(INDEX('5_Exp_total_by_BEA'!$B$2:$B$74, MATCH($A79, '5_Exp_total_by_BEA'!$A$2:$A$74,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IFERROR(INDEX('5_Exp_total_by_BEA'!$B$2:$B$74, MATCH($A80, '5_Exp_total_by_BEA'!$A$2:$A$74,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IFERROR(INDEX('5_Exp_total_by_BEA'!$B$2:$B$74, MATCH($A81, '5_Exp_total_by_BEA'!$A$2:$A$74, 0)), 0)</f>
      </c>
      <c r="E81" t="str">
        <f>C81*D81</f>
      </c>
    </row>
    <row r="83">
      <c r="A83" t="s">
        <v>592</v>
      </c>
    </row>
    <row r="84">
      <c r="A84" t="s">
        <v>334</v>
      </c>
      <c r="B84" t="s">
        <v>590</v>
      </c>
      <c r="C84" t="s">
        <v>593</v>
      </c>
    </row>
    <row r="85">
      <c r="A85" t="s">
        <v>340</v>
      </c>
      <c r="B85" t="str">
        <f>SUMIFS('8_Calc_Exp_ISIC'!$E$3:$E$81, '8_Calc_Exp_ISIC'!$B$3:$B$81, $A85)</f>
      </c>
      <c r="C85" t="str">
        <f>B85/Keys!$C$2</f>
      </c>
    </row>
    <row r="86">
      <c r="A86" t="s">
        <v>482</v>
      </c>
      <c r="B86" t="str">
        <f>SUMIFS('8_Calc_Exp_ISIC'!$E$3:$E$81, '8_Calc_Exp_ISIC'!$B$3:$B$81, $A86)</f>
      </c>
      <c r="C86" t="str">
        <f>B86/Keys!$C$2</f>
      </c>
    </row>
    <row r="87">
      <c r="A87" t="s">
        <v>344</v>
      </c>
      <c r="B87" t="str">
        <f>SUMIFS('8_Calc_Exp_ISIC'!$E$3:$E$81, '8_Calc_Exp_ISIC'!$B$3:$B$81, $A87)</f>
      </c>
      <c r="C87" t="str">
        <f>B87/Keys!$C$2</f>
      </c>
    </row>
    <row r="88">
      <c r="A88" t="s">
        <v>485</v>
      </c>
      <c r="B88" t="str">
        <f>SUMIFS('8_Calc_Exp_ISIC'!$E$3:$E$81, '8_Calc_Exp_ISIC'!$B$3:$B$81, $A88)</f>
      </c>
      <c r="C88" t="str">
        <f>B88/Keys!$C$2</f>
      </c>
    </row>
    <row r="89">
      <c r="A89" t="s">
        <v>347</v>
      </c>
      <c r="B89" t="str">
        <f>SUMIFS('8_Calc_Exp_ISIC'!$E$3:$E$81, '8_Calc_Exp_ISIC'!$B$3:$B$81, $A89)</f>
      </c>
      <c r="C89" t="str">
        <f>B89/Keys!$C$2</f>
      </c>
    </row>
    <row r="90">
      <c r="A90" t="s">
        <v>362</v>
      </c>
      <c r="B90" t="str">
        <f>SUMIFS('8_Calc_Exp_ISIC'!$E$3:$E$81, '8_Calc_Exp_ISIC'!$B$3:$B$81, $A90)</f>
      </c>
      <c r="C90" t="str">
        <f>B90/Keys!$C$2</f>
      </c>
    </row>
    <row r="91">
      <c r="A91" t="s">
        <v>365</v>
      </c>
      <c r="B91" t="str">
        <f>SUMIFS('8_Calc_Exp_ISIC'!$E$3:$E$81, '8_Calc_Exp_ISIC'!$B$3:$B$81, $A91)</f>
      </c>
      <c r="C91" t="str">
        <f>B91/Keys!$C$2</f>
      </c>
    </row>
    <row r="92">
      <c r="A92" t="s">
        <v>369</v>
      </c>
      <c r="B92" t="str">
        <f>SUMIFS('8_Calc_Exp_ISIC'!$E$3:$E$81, '8_Calc_Exp_ISIC'!$B$3:$B$81, $A92)</f>
      </c>
      <c r="C92" t="str">
        <f>B92/Keys!$C$2</f>
      </c>
    </row>
    <row r="93">
      <c r="A93" t="s">
        <v>372</v>
      </c>
      <c r="B93" t="str">
        <f>SUMIFS('8_Calc_Exp_ISIC'!$E$3:$E$81, '8_Calc_Exp_ISIC'!$B$3:$B$81, $A93)</f>
      </c>
      <c r="C93" t="str">
        <f>B93/Keys!$C$2</f>
      </c>
    </row>
    <row r="94">
      <c r="A94" t="s">
        <v>376</v>
      </c>
      <c r="B94" t="str">
        <f>SUMIFS('8_Calc_Exp_ISIC'!$E$3:$E$81, '8_Calc_Exp_ISIC'!$B$3:$B$81, $A94)</f>
      </c>
      <c r="C94" t="str">
        <f>B94/Keys!$C$2</f>
      </c>
    </row>
    <row r="95">
      <c r="A95" t="s">
        <v>498</v>
      </c>
      <c r="B95" t="str">
        <f>SUMIFS('8_Calc_Exp_ISIC'!$E$3:$E$81, '8_Calc_Exp_ISIC'!$B$3:$B$81, $A95)</f>
      </c>
      <c r="C95" t="str">
        <f>B95/Keys!$C$2</f>
      </c>
    </row>
    <row r="96">
      <c r="A96" t="s">
        <v>501</v>
      </c>
      <c r="B96" t="str">
        <f>SUMIFS('8_Calc_Exp_ISIC'!$E$3:$E$81, '8_Calc_Exp_ISIC'!$B$3:$B$81, $A96)</f>
      </c>
      <c r="C96" t="str">
        <f>B96/Keys!$C$2</f>
      </c>
    </row>
    <row r="97">
      <c r="A97" t="s">
        <v>126</v>
      </c>
      <c r="B97" t="str">
        <f>SUMIFS('8_Calc_Exp_ISIC'!$E$3:$E$81, '8_Calc_Exp_ISIC'!$B$3:$B$81, $A97)</f>
      </c>
      <c r="C97" t="str">
        <f>B97/Keys!$C$2</f>
      </c>
    </row>
    <row r="98">
      <c r="A98" t="s">
        <v>488</v>
      </c>
      <c r="B98" t="str">
        <f>SUMIFS('8_Calc_Exp_ISIC'!$E$3:$E$81, '8_Calc_Exp_ISIC'!$B$3:$B$81, $A98)</f>
      </c>
      <c r="C98" t="str">
        <f>B98/Keys!$C$2</f>
      </c>
    </row>
    <row r="99">
      <c r="A99" t="s">
        <v>491</v>
      </c>
      <c r="B99" t="str">
        <f>SUMIFS('8_Calc_Exp_ISIC'!$E$3:$E$81, '8_Calc_Exp_ISIC'!$B$3:$B$81, $A99)</f>
      </c>
      <c r="C99" t="str">
        <f>B99/Keys!$C$2</f>
      </c>
    </row>
    <row r="100">
      <c r="A100" t="s">
        <v>379</v>
      </c>
      <c r="B100" t="str">
        <f>SUMIFS('8_Calc_Exp_ISIC'!$E$3:$E$81, '8_Calc_Exp_ISIC'!$B$3:$B$81, $A100)</f>
      </c>
      <c r="C100" t="str">
        <f>B100/Keys!$C$2</f>
      </c>
    </row>
    <row r="101">
      <c r="A101" t="s">
        <v>495</v>
      </c>
      <c r="B101" t="str">
        <f>SUMIFS('8_Calc_Exp_ISIC'!$E$3:$E$81, '8_Calc_Exp_ISIC'!$B$3:$B$81, $A101)</f>
      </c>
      <c r="C101" t="str">
        <f>B101/Keys!$C$2</f>
      </c>
    </row>
    <row r="102">
      <c r="A102" t="s">
        <v>385</v>
      </c>
      <c r="B102" t="str">
        <f>SUMIFS('8_Calc_Exp_ISIC'!$E$3:$E$81, '8_Calc_Exp_ISIC'!$B$3:$B$81, $A102)</f>
      </c>
      <c r="C102" t="str">
        <f>B102/Keys!$C$2</f>
      </c>
    </row>
    <row r="103">
      <c r="A103" t="s">
        <v>390</v>
      </c>
      <c r="B103" t="str">
        <f>SUMIFS('8_Calc_Exp_ISIC'!$E$3:$E$81, '8_Calc_Exp_ISIC'!$B$3:$B$81, $A103)</f>
      </c>
      <c r="C103" t="str">
        <f>B103/Keys!$C$2</f>
      </c>
    </row>
    <row r="104">
      <c r="A104" t="s">
        <v>393</v>
      </c>
      <c r="B104" t="str">
        <f>SUMIFS('8_Calc_Exp_ISIC'!$E$3:$E$81, '8_Calc_Exp_ISIC'!$B$3:$B$81, $A104)</f>
      </c>
      <c r="C104" t="str">
        <f>B104/Keys!$C$2</f>
      </c>
    </row>
    <row r="105">
      <c r="A105" t="s">
        <v>387</v>
      </c>
      <c r="B105" t="str">
        <f>SUMIFS('8_Calc_Exp_ISIC'!$E$3:$E$81, '8_Calc_Exp_ISIC'!$B$3:$B$81, $A105)</f>
      </c>
      <c r="C105" t="str">
        <f>B105/Keys!$C$2</f>
      </c>
    </row>
    <row r="106">
      <c r="A106" t="s">
        <v>396</v>
      </c>
      <c r="B106" t="str">
        <f>SUMIFS('8_Calc_Exp_ISIC'!$E$3:$E$81, '8_Calc_Exp_ISIC'!$B$3:$B$81, $A106)</f>
      </c>
      <c r="C106" t="str">
        <f>B106/Keys!$C$2</f>
      </c>
    </row>
    <row r="107">
      <c r="A107" t="s">
        <v>399</v>
      </c>
      <c r="B107" t="str">
        <f>SUMIFS('8_Calc_Exp_ISIC'!$E$3:$E$81, '8_Calc_Exp_ISIC'!$B$3:$B$81, $A107)</f>
      </c>
      <c r="C107" t="str">
        <f>B107/Keys!$C$2</f>
      </c>
    </row>
    <row r="108">
      <c r="A108" t="s">
        <v>402</v>
      </c>
      <c r="B108" t="str">
        <f>SUMIFS('8_Calc_Exp_ISIC'!$E$3:$E$81, '8_Calc_Exp_ISIC'!$B$3:$B$81, $A108)</f>
      </c>
      <c r="C108" t="str">
        <f>B108/Keys!$C$2</f>
      </c>
    </row>
    <row r="109">
      <c r="A109" t="s">
        <v>350</v>
      </c>
      <c r="B109" t="str">
        <f>SUMIFS('8_Calc_Exp_ISIC'!$E$3:$E$81, '8_Calc_Exp_ISIC'!$B$3:$B$81, $A109)</f>
      </c>
      <c r="C109" t="str">
        <f>B109/Keys!$C$2</f>
      </c>
    </row>
    <row r="110">
      <c r="A110" t="s">
        <v>353</v>
      </c>
      <c r="B110" t="str">
        <f>SUMIFS('8_Calc_Exp_ISIC'!$E$3:$E$81, '8_Calc_Exp_ISIC'!$B$3:$B$81, $A110)</f>
      </c>
      <c r="C110" t="str">
        <f>B110/Keys!$C$2</f>
      </c>
    </row>
    <row r="111">
      <c r="A111" t="s">
        <v>356</v>
      </c>
      <c r="B111" t="str">
        <f>SUMIFS('8_Calc_Exp_ISIC'!$E$3:$E$81, '8_Calc_Exp_ISIC'!$B$3:$B$81, $A111)</f>
      </c>
      <c r="C111" t="str">
        <f>B111/Keys!$C$2</f>
      </c>
    </row>
    <row r="112">
      <c r="A112" t="s">
        <v>360</v>
      </c>
      <c r="B112" t="str">
        <f>SUMIFS('8_Calc_Exp_ISIC'!$E$3:$E$81, '8_Calc_Exp_ISIC'!$B$3:$B$81, $A112)</f>
      </c>
      <c r="C112" t="str">
        <f>B112/Keys!$C$2</f>
      </c>
    </row>
    <row r="113">
      <c r="A113" t="s">
        <v>406</v>
      </c>
      <c r="B113" t="str">
        <f>SUMIFS('8_Calc_Exp_ISIC'!$E$3:$E$81, '8_Calc_Exp_ISIC'!$B$3:$B$81, $A113)</f>
      </c>
      <c r="C113" t="str">
        <f>B113/Keys!$C$2</f>
      </c>
    </row>
    <row r="114">
      <c r="A114" t="s">
        <v>413</v>
      </c>
      <c r="B114" t="str">
        <f>SUMIFS('8_Calc_Exp_ISIC'!$E$3:$E$81, '8_Calc_Exp_ISIC'!$B$3:$B$81, $A114)</f>
      </c>
      <c r="C114" t="str">
        <f>B114/Keys!$C$2</f>
      </c>
    </row>
    <row r="115">
      <c r="A115" t="s">
        <v>470</v>
      </c>
      <c r="B115" t="str">
        <f>SUMIFS('8_Calc_Exp_ISIC'!$E$3:$E$81, '8_Calc_Exp_ISIC'!$B$3:$B$81, $A115)</f>
      </c>
      <c r="C115" t="str">
        <f>B115/Keys!$C$2</f>
      </c>
    </row>
    <row r="116">
      <c r="A116" t="s">
        <v>425</v>
      </c>
      <c r="B116" t="str">
        <f>SUMIFS('8_Calc_Exp_ISIC'!$E$3:$E$81, '8_Calc_Exp_ISIC'!$B$3:$B$81, $A116)</f>
      </c>
      <c r="C116" t="str">
        <f>B116/Keys!$C$2</f>
      </c>
    </row>
    <row r="117">
      <c r="A117" t="s">
        <v>177</v>
      </c>
      <c r="B117" t="str">
        <f>SUMIFS('8_Calc_Exp_ISIC'!$E$3:$E$81, '8_Calc_Exp_ISIC'!$B$3:$B$81, $A117)</f>
      </c>
      <c r="C117" t="str">
        <f>B117/Keys!$C$2</f>
      </c>
    </row>
    <row r="118">
      <c r="A118" t="s">
        <v>432</v>
      </c>
      <c r="B118" t="str">
        <f>SUMIFS('8_Calc_Exp_ISIC'!$E$3:$E$81, '8_Calc_Exp_ISIC'!$B$3:$B$81, $A118)</f>
      </c>
      <c r="C118" t="str">
        <f>B118/Keys!$C$2</f>
      </c>
    </row>
    <row r="119">
      <c r="A119" t="s">
        <v>435</v>
      </c>
      <c r="B119" t="str">
        <f>SUMIFS('8_Calc_Exp_ISIC'!$E$3:$E$81, '8_Calc_Exp_ISIC'!$B$3:$B$81, $A119)</f>
      </c>
      <c r="C119" t="str">
        <f>B119/Keys!$C$2</f>
      </c>
    </row>
    <row r="120">
      <c r="A120" t="s">
        <v>441</v>
      </c>
      <c r="B120" t="str">
        <f>SUMIFS('8_Calc_Exp_ISIC'!$E$3:$E$81, '8_Calc_Exp_ISIC'!$B$3:$B$81, $A120)</f>
      </c>
      <c r="C120" t="str">
        <f>B120/Keys!$C$2</f>
      </c>
    </row>
    <row r="121">
      <c r="A121" t="s">
        <v>445</v>
      </c>
      <c r="B121" t="str">
        <f>SUMIFS('8_Calc_Exp_ISIC'!$E$3:$E$81, '8_Calc_Exp_ISIC'!$B$3:$B$81, $A121)</f>
      </c>
      <c r="C121" t="str">
        <f>B121/Keys!$C$2</f>
      </c>
    </row>
    <row r="122">
      <c r="A122" t="s">
        <v>475</v>
      </c>
      <c r="B122" t="str">
        <f>SUMIFS('8_Calc_Exp_ISIC'!$E$3:$E$81, '8_Calc_Exp_ISIC'!$B$3:$B$81, $A122)</f>
      </c>
      <c r="C122" t="str">
        <f>B122/Keys!$C$2</f>
      </c>
    </row>
    <row r="123">
      <c r="A123" t="s">
        <v>457</v>
      </c>
      <c r="B123" t="str">
        <f>SUMIFS('8_Calc_Exp_ISIC'!$E$3:$E$81, '8_Calc_Exp_ISIC'!$B$3:$B$81, $A123)</f>
      </c>
      <c r="C123" t="str">
        <f>B123/Keys!$C$2</f>
      </c>
    </row>
    <row r="124">
      <c r="A124" t="s">
        <v>460</v>
      </c>
      <c r="B124" t="str">
        <f>SUMIFS('8_Calc_Exp_ISIC'!$E$3:$E$81, '8_Calc_Exp_ISIC'!$B$3:$B$81, $A124)</f>
      </c>
      <c r="C124" t="str">
        <f>B124/Keys!$C$2</f>
      </c>
    </row>
    <row r="125">
      <c r="A125" t="s">
        <v>466</v>
      </c>
      <c r="B125" t="str">
        <f>SUMIFS('8_Calc_Exp_ISIC'!$E$3:$E$81, '8_Calc_Exp_ISIC'!$B$3:$B$81, $A125)</f>
      </c>
      <c r="C125" t="str">
        <f>B125/Keys!$C$2</f>
      </c>
    </row>
    <row r="126">
      <c r="A126" t="s">
        <v>583</v>
      </c>
      <c r="B126" t="str">
        <f>SUMIFS('8_Calc_Exp_ISIC'!$E$3:$E$81, '8_Calc_Exp_ISIC'!$B$3:$B$81,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334</v>
      </c>
      <c r="B1" t="s">
        <v>594</v>
      </c>
    </row>
    <row r="2">
      <c r="A2" t="s">
        <v>340</v>
      </c>
      <c r="B2" t="n">
        <v>10593593158.7465</v>
      </c>
    </row>
    <row r="3">
      <c r="A3" t="s">
        <v>482</v>
      </c>
      <c r="B3" t="n">
        <v>0</v>
      </c>
    </row>
    <row r="4">
      <c r="A4" t="s">
        <v>344</v>
      </c>
      <c r="B4" t="n">
        <v>41375822.5670535</v>
      </c>
    </row>
    <row r="5">
      <c r="A5" t="s">
        <v>485</v>
      </c>
      <c r="B5" t="n">
        <v>3391615727.39945</v>
      </c>
    </row>
    <row r="6">
      <c r="A6" t="s">
        <v>347</v>
      </c>
      <c r="B6" t="n">
        <v>20209967.8236103</v>
      </c>
    </row>
    <row r="7">
      <c r="A7" t="s">
        <v>362</v>
      </c>
      <c r="B7" t="n">
        <v>18203543606.4752</v>
      </c>
    </row>
    <row r="8">
      <c r="A8" t="s">
        <v>365</v>
      </c>
      <c r="B8" t="n">
        <v>592033559.55187</v>
      </c>
    </row>
    <row r="9">
      <c r="A9" t="s">
        <v>369</v>
      </c>
      <c r="B9" t="n">
        <v>3481519400.91175</v>
      </c>
    </row>
    <row r="10">
      <c r="A10" t="s">
        <v>372</v>
      </c>
      <c r="B10" t="n">
        <v>8678909672.27084</v>
      </c>
    </row>
    <row r="11">
      <c r="A11" t="s">
        <v>376</v>
      </c>
      <c r="B11" t="n">
        <v>9678310980.57409</v>
      </c>
    </row>
    <row r="12">
      <c r="A12" t="s">
        <v>498</v>
      </c>
      <c r="B12" t="n">
        <v>3508837161.84872</v>
      </c>
    </row>
    <row r="13">
      <c r="A13" t="s">
        <v>501</v>
      </c>
      <c r="B13" t="n">
        <v>2339224774.56582</v>
      </c>
    </row>
    <row r="14">
      <c r="A14" t="s">
        <v>126</v>
      </c>
      <c r="B14" t="n">
        <v>4612485779.09154</v>
      </c>
    </row>
    <row r="15">
      <c r="A15" t="s">
        <v>488</v>
      </c>
      <c r="B15" t="n">
        <v>612375442.365997</v>
      </c>
    </row>
    <row r="16">
      <c r="A16" t="s">
        <v>491</v>
      </c>
      <c r="B16" t="n">
        <v>1837126327.09799</v>
      </c>
    </row>
    <row r="17">
      <c r="A17" t="s">
        <v>379</v>
      </c>
      <c r="B17" t="n">
        <v>1975381564.68342</v>
      </c>
    </row>
    <row r="18">
      <c r="A18" t="s">
        <v>495</v>
      </c>
      <c r="B18" t="n">
        <v>1055072879.23578</v>
      </c>
    </row>
    <row r="19">
      <c r="A19" t="s">
        <v>385</v>
      </c>
      <c r="B19" t="n">
        <v>9885307536.61982</v>
      </c>
    </row>
    <row r="20">
      <c r="A20" t="s">
        <v>390</v>
      </c>
      <c r="B20" t="n">
        <v>10258113266.798</v>
      </c>
    </row>
    <row r="21">
      <c r="A21" t="s">
        <v>393</v>
      </c>
      <c r="B21" t="n">
        <v>2426509117.9691</v>
      </c>
    </row>
    <row r="22">
      <c r="A22" t="s">
        <v>387</v>
      </c>
      <c r="B22" t="n">
        <v>10407097746.7768</v>
      </c>
    </row>
    <row r="23">
      <c r="A23" t="s">
        <v>396</v>
      </c>
      <c r="B23" t="n">
        <v>3492874408.10419</v>
      </c>
    </row>
    <row r="24">
      <c r="A24" t="s">
        <v>399</v>
      </c>
      <c r="B24" t="n">
        <v>2190986923.8863</v>
      </c>
    </row>
    <row r="25">
      <c r="A25" t="s">
        <v>402</v>
      </c>
      <c r="B25" t="n">
        <v>10078144338.7329</v>
      </c>
    </row>
    <row r="26">
      <c r="A26" t="s">
        <v>350</v>
      </c>
      <c r="B26" t="n">
        <v>5564257596.31122</v>
      </c>
    </row>
    <row r="27">
      <c r="A27" t="s">
        <v>353</v>
      </c>
      <c r="B27" t="n">
        <v>1928742615.27692</v>
      </c>
    </row>
    <row r="28">
      <c r="A28" t="s">
        <v>356</v>
      </c>
      <c r="B28" t="n">
        <v>2492777396.77996</v>
      </c>
    </row>
    <row r="29">
      <c r="A29" t="s">
        <v>360</v>
      </c>
      <c r="B29" t="n">
        <v>29736226248.4325</v>
      </c>
    </row>
    <row r="30">
      <c r="A30" t="s">
        <v>406</v>
      </c>
      <c r="B30" t="n">
        <v>73554510635.1014</v>
      </c>
    </row>
    <row r="31">
      <c r="A31" t="s">
        <v>413</v>
      </c>
      <c r="B31" t="n">
        <v>22370784707.8549</v>
      </c>
    </row>
    <row r="32">
      <c r="A32" t="s">
        <v>470</v>
      </c>
      <c r="B32" t="n">
        <v>15172726025.8571</v>
      </c>
    </row>
    <row r="33">
      <c r="A33" t="s">
        <v>425</v>
      </c>
      <c r="B33" t="n">
        <v>9388984586.24292</v>
      </c>
    </row>
    <row r="34">
      <c r="A34" t="s">
        <v>177</v>
      </c>
      <c r="B34" t="n">
        <v>6794896828.38563</v>
      </c>
    </row>
    <row r="35">
      <c r="A35" t="s">
        <v>432</v>
      </c>
      <c r="B35" t="n">
        <v>11062968983.559</v>
      </c>
    </row>
    <row r="36">
      <c r="A36" t="s">
        <v>435</v>
      </c>
      <c r="B36" t="n">
        <v>55516884517.775</v>
      </c>
    </row>
    <row r="37">
      <c r="A37" t="s">
        <v>441</v>
      </c>
      <c r="B37" t="n">
        <v>55582789907.4193</v>
      </c>
    </row>
    <row r="38">
      <c r="A38" t="s">
        <v>445</v>
      </c>
      <c r="B38" t="n">
        <v>64586794887.9472</v>
      </c>
    </row>
    <row r="39">
      <c r="A39" t="s">
        <v>475</v>
      </c>
      <c r="B39" t="n">
        <v>52635885269.1916</v>
      </c>
    </row>
    <row r="40">
      <c r="A40" t="s">
        <v>457</v>
      </c>
      <c r="B40" t="n">
        <v>5108820239.07453</v>
      </c>
    </row>
    <row r="41">
      <c r="A41" t="s">
        <v>460</v>
      </c>
      <c r="B41" t="n">
        <v>53890966900.45</v>
      </c>
    </row>
    <row r="42">
      <c r="A42" t="s">
        <v>466</v>
      </c>
      <c r="B42" t="n">
        <v>17518714639.9853</v>
      </c>
    </row>
    <row r="43">
      <c r="A43" t="s">
        <v>583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595</v>
      </c>
      <c r="C1" t="s">
        <v>338</v>
      </c>
    </row>
    <row r="2">
      <c r="A2" t="s">
        <v>482</v>
      </c>
      <c r="B2" t="n">
        <v>0</v>
      </c>
      <c r="C2" t="s">
        <v>596</v>
      </c>
    </row>
    <row r="3">
      <c r="A3" t="s">
        <v>344</v>
      </c>
      <c r="B3" t="n">
        <v>0</v>
      </c>
      <c r="C3" t="s">
        <v>597</v>
      </c>
    </row>
    <row r="4">
      <c r="A4" t="s">
        <v>350</v>
      </c>
      <c r="B4" t="n">
        <v>0.808873159513783</v>
      </c>
      <c r="C4" t="s">
        <v>598</v>
      </c>
    </row>
    <row r="5">
      <c r="A5" t="s">
        <v>356</v>
      </c>
      <c r="B5" t="n">
        <v>1</v>
      </c>
      <c r="C5" t="s">
        <v>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600</v>
      </c>
      <c r="C1" t="s">
        <v>338</v>
      </c>
    </row>
    <row r="2">
      <c r="A2" t="s">
        <v>356</v>
      </c>
      <c r="B2" t="n">
        <v>0</v>
      </c>
      <c r="C2" t="s">
        <v>601</v>
      </c>
    </row>
    <row r="3">
      <c r="A3" t="s">
        <v>350</v>
      </c>
      <c r="B3" t="n">
        <v>0</v>
      </c>
      <c r="C3" t="s">
        <v>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603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IFERROR(INDEX('6_Calc_DCS_num_ISIC'!$C$85:$C$126, MATCH($A3, '6_Calc_DCS_num_ISIC'!$A$85:$A$126, 0)), 0)</f>
      </c>
      <c r="C3" t="str">
        <f>IFERROR(INDEX('7_Calc_DCS_den_ISIC'!$C$85:$C$126, MATCH($A3, '7_Calc_DCS_den_ISIC'!$A$85:$A$126, 0)), 0)</f>
      </c>
      <c r="D3" t="str">
        <f>B3/MAX(C3, Keys!$C$4)</f>
      </c>
      <c r="E3" t="str">
        <f>MIN(1, MAX(0, D3))</f>
      </c>
      <c r="F3" t="str">
        <f>IFERROR(INDEX('9b_DCS_overrides'!$B$2:$B$5, MATCH($A3, '9b_DCS_overrides'!$A$2:$A$5, 0)), E3)</f>
      </c>
    </row>
    <row r="4">
      <c r="A4" t="s">
        <v>482</v>
      </c>
      <c r="B4" t="str">
        <f>IFERROR(INDEX('6_Calc_DCS_num_ISIC'!$C$85:$C$126, MATCH($A4, '6_Calc_DCS_num_ISIC'!$A$85:$A$126, 0)), 0)</f>
      </c>
      <c r="C4" t="str">
        <f>IFERROR(INDEX('7_Calc_DCS_den_ISIC'!$C$85:$C$126, MATCH($A4, '7_Calc_DCS_den_ISIC'!$A$85:$A$126, 0)), 0)</f>
      </c>
      <c r="D4" t="str">
        <f>B4/MAX(C4, Keys!$C$4)</f>
      </c>
      <c r="E4" t="str">
        <f>MIN(1, MAX(0, D4))</f>
      </c>
      <c r="F4" t="str">
        <f>IFERROR(INDEX('9b_DCS_overrides'!$B$2:$B$5, MATCH($A4, '9b_DCS_overrides'!$A$2:$A$5, 0)), E4)</f>
      </c>
    </row>
    <row r="5">
      <c r="A5" t="s">
        <v>344</v>
      </c>
      <c r="B5" t="str">
        <f>IFERROR(INDEX('6_Calc_DCS_num_ISIC'!$C$85:$C$126, MATCH($A5, '6_Calc_DCS_num_ISIC'!$A$85:$A$126, 0)), 0)</f>
      </c>
      <c r="C5" t="str">
        <f>IFERROR(INDEX('7_Calc_DCS_den_ISIC'!$C$85:$C$126, MATCH($A5, '7_Calc_DCS_den_ISIC'!$A$85:$A$126, 0)), 0)</f>
      </c>
      <c r="D5" t="str">
        <f>B5/MAX(C5, Keys!$C$4)</f>
      </c>
      <c r="E5" t="str">
        <f>MIN(1, MAX(0, D5))</f>
      </c>
      <c r="F5" t="str">
        <f>IFERROR(INDEX('9b_DCS_overrides'!$B$2:$B$5, MATCH($A5, '9b_DCS_overrides'!$A$2:$A$5, 0)), E5)</f>
      </c>
    </row>
    <row r="6">
      <c r="A6" t="s">
        <v>485</v>
      </c>
      <c r="B6" t="str">
        <f>IFERROR(INDEX('6_Calc_DCS_num_ISIC'!$C$85:$C$126, MATCH($A6, '6_Calc_DCS_num_ISIC'!$A$85:$A$126, 0)), 0)</f>
      </c>
      <c r="C6" t="str">
        <f>IFERROR(INDEX('7_Calc_DCS_den_ISIC'!$C$85:$C$126, MATCH($A6, '7_Calc_DCS_den_ISIC'!$A$85:$A$126, 0)), 0)</f>
      </c>
      <c r="D6" t="str">
        <f>B6/MAX(C6, Keys!$C$4)</f>
      </c>
      <c r="E6" t="str">
        <f>MIN(1, MAX(0, D6))</f>
      </c>
      <c r="F6" t="str">
        <f>IFERROR(INDEX('9b_DCS_overrides'!$B$2:$B$5, MATCH($A6, '9b_DCS_overrides'!$A$2:$A$5, 0)), E6)</f>
      </c>
    </row>
    <row r="7">
      <c r="A7" t="s">
        <v>347</v>
      </c>
      <c r="B7" t="str">
        <f>IFERROR(INDEX('6_Calc_DCS_num_ISIC'!$C$85:$C$126, MATCH($A7, '6_Calc_DCS_num_ISIC'!$A$85:$A$126, 0)), 0)</f>
      </c>
      <c r="C7" t="str">
        <f>IFERROR(INDEX('7_Calc_DCS_den_ISIC'!$C$85:$C$126, MATCH($A7, '7_Calc_DCS_den_ISIC'!$A$85:$A$126, 0)), 0)</f>
      </c>
      <c r="D7" t="str">
        <f>B7/MAX(C7, Keys!$C$4)</f>
      </c>
      <c r="E7" t="str">
        <f>MIN(1, MAX(0, D7))</f>
      </c>
      <c r="F7" t="str">
        <f>IFERROR(INDEX('9b_DCS_overrides'!$B$2:$B$5, MATCH($A7, '9b_DCS_overrides'!$A$2:$A$5, 0)), E7)</f>
      </c>
    </row>
    <row r="8">
      <c r="A8" t="s">
        <v>362</v>
      </c>
      <c r="B8" t="str">
        <f>IFERROR(INDEX('6_Calc_DCS_num_ISIC'!$C$85:$C$126, MATCH($A8, '6_Calc_DCS_num_ISIC'!$A$85:$A$126, 0)), 0)</f>
      </c>
      <c r="C8" t="str">
        <f>IFERROR(INDEX('7_Calc_DCS_den_ISIC'!$C$85:$C$126, MATCH($A8, '7_Calc_DCS_den_ISIC'!$A$85:$A$126, 0)), 0)</f>
      </c>
      <c r="D8" t="str">
        <f>B8/MAX(C8, Keys!$C$4)</f>
      </c>
      <c r="E8" t="str">
        <f>MIN(1, MAX(0, D8))</f>
      </c>
      <c r="F8" t="str">
        <f>IFERROR(INDEX('9b_DCS_overrides'!$B$2:$B$5, MATCH($A8, '9b_DCS_overrides'!$A$2:$A$5, 0)), E8)</f>
      </c>
    </row>
    <row r="9">
      <c r="A9" t="s">
        <v>365</v>
      </c>
      <c r="B9" t="str">
        <f>IFERROR(INDEX('6_Calc_DCS_num_ISIC'!$C$85:$C$126, MATCH($A9, '6_Calc_DCS_num_ISIC'!$A$85:$A$126, 0)), 0)</f>
      </c>
      <c r="C9" t="str">
        <f>IFERROR(INDEX('7_Calc_DCS_den_ISIC'!$C$85:$C$126, MATCH($A9, '7_Calc_DCS_den_ISIC'!$A$85:$A$126, 0)), 0)</f>
      </c>
      <c r="D9" t="str">
        <f>B9/MAX(C9, Keys!$C$4)</f>
      </c>
      <c r="E9" t="str">
        <f>MIN(1, MAX(0, D9))</f>
      </c>
      <c r="F9" t="str">
        <f>IFERROR(INDEX('9b_DCS_overrides'!$B$2:$B$5, MATCH($A9, '9b_DCS_overrides'!$A$2:$A$5, 0)), E9)</f>
      </c>
    </row>
    <row r="10">
      <c r="A10" t="s">
        <v>369</v>
      </c>
      <c r="B10" t="str">
        <f>IFERROR(INDEX('6_Calc_DCS_num_ISIC'!$C$85:$C$126, MATCH($A10, '6_Calc_DCS_num_ISIC'!$A$85:$A$126, 0)), 0)</f>
      </c>
      <c r="C10" t="str">
        <f>IFERROR(INDEX('7_Calc_DCS_den_ISIC'!$C$85:$C$126, MATCH($A10, '7_Calc_DCS_den_ISIC'!$A$85:$A$126, 0)), 0)</f>
      </c>
      <c r="D10" t="str">
        <f>B10/MAX(C10, Keys!$C$4)</f>
      </c>
      <c r="E10" t="str">
        <f>MIN(1, MAX(0, D10))</f>
      </c>
      <c r="F10" t="str">
        <f>IFERROR(INDEX('9b_DCS_overrides'!$B$2:$B$5, MATCH($A10, '9b_DCS_overrides'!$A$2:$A$5, 0)), E10)</f>
      </c>
    </row>
    <row r="11">
      <c r="A11" t="s">
        <v>372</v>
      </c>
      <c r="B11" t="str">
        <f>IFERROR(INDEX('6_Calc_DCS_num_ISIC'!$C$85:$C$126, MATCH($A11, '6_Calc_DCS_num_ISIC'!$A$85:$A$126, 0)), 0)</f>
      </c>
      <c r="C11" t="str">
        <f>IFERROR(INDEX('7_Calc_DCS_den_ISIC'!$C$85:$C$126, MATCH($A11, '7_Calc_DCS_den_ISIC'!$A$85:$A$126, 0)), 0)</f>
      </c>
      <c r="D11" t="str">
        <f>B11/MAX(C11, Keys!$C$4)</f>
      </c>
      <c r="E11" t="str">
        <f>MIN(1, MAX(0, D11))</f>
      </c>
      <c r="F11" t="str">
        <f>IFERROR(INDEX('9b_DCS_overrides'!$B$2:$B$5, MATCH($A11, '9b_DCS_overrides'!$A$2:$A$5, 0)), E11)</f>
      </c>
    </row>
    <row r="12">
      <c r="A12" t="s">
        <v>376</v>
      </c>
      <c r="B12" t="str">
        <f>IFERROR(INDEX('6_Calc_DCS_num_ISIC'!$C$85:$C$126, MATCH($A12, '6_Calc_DCS_num_ISIC'!$A$85:$A$126, 0)), 0)</f>
      </c>
      <c r="C12" t="str">
        <f>IFERROR(INDEX('7_Calc_DCS_den_ISIC'!$C$85:$C$126, MATCH($A12, '7_Calc_DCS_den_ISIC'!$A$85:$A$126, 0)), 0)</f>
      </c>
      <c r="D12" t="str">
        <f>B12/MAX(C12, Keys!$C$4)</f>
      </c>
      <c r="E12" t="str">
        <f>MIN(1, MAX(0, D12))</f>
      </c>
      <c r="F12" t="str">
        <f>IFERROR(INDEX('9b_DCS_overrides'!$B$2:$B$5, MATCH($A12, '9b_DCS_overrides'!$A$2:$A$5, 0)), E12)</f>
      </c>
    </row>
    <row r="13">
      <c r="A13" t="s">
        <v>498</v>
      </c>
      <c r="B13" t="str">
        <f>IFERROR(INDEX('6_Calc_DCS_num_ISIC'!$C$85:$C$126, MATCH($A13, '6_Calc_DCS_num_ISIC'!$A$85:$A$126, 0)), 0)</f>
      </c>
      <c r="C13" t="str">
        <f>IFERROR(INDEX('7_Calc_DCS_den_ISIC'!$C$85:$C$126, MATCH($A13, '7_Calc_DCS_den_ISIC'!$A$85:$A$126, 0)), 0)</f>
      </c>
      <c r="D13" t="str">
        <f>B13/MAX(C13, Keys!$C$4)</f>
      </c>
      <c r="E13" t="str">
        <f>MIN(1, MAX(0, D13))</f>
      </c>
      <c r="F13" t="str">
        <f>IFERROR(INDEX('9b_DCS_overrides'!$B$2:$B$5, MATCH($A13, '9b_DCS_overrides'!$A$2:$A$5, 0)), E13)</f>
      </c>
    </row>
    <row r="14">
      <c r="A14" t="s">
        <v>501</v>
      </c>
      <c r="B14" t="str">
        <f>IFERROR(INDEX('6_Calc_DCS_num_ISIC'!$C$85:$C$126, MATCH($A14, '6_Calc_DCS_num_ISIC'!$A$85:$A$126, 0)), 0)</f>
      </c>
      <c r="C14" t="str">
        <f>IFERROR(INDEX('7_Calc_DCS_den_ISIC'!$C$85:$C$126, MATCH($A14, '7_Calc_DCS_den_ISIC'!$A$85:$A$126, 0)), 0)</f>
      </c>
      <c r="D14" t="str">
        <f>B14/MAX(C14, Keys!$C$4)</f>
      </c>
      <c r="E14" t="str">
        <f>MIN(1, MAX(0, D14))</f>
      </c>
      <c r="F14" t="str">
        <f>IFERROR(INDEX('9b_DCS_overrides'!$B$2:$B$5, MATCH($A14, '9b_DCS_overrides'!$A$2:$A$5, 0)), E14)</f>
      </c>
    </row>
    <row r="15">
      <c r="A15" t="s">
        <v>126</v>
      </c>
      <c r="B15" t="str">
        <f>IFERROR(INDEX('6_Calc_DCS_num_ISIC'!$C$85:$C$126, MATCH($A15, '6_Calc_DCS_num_ISIC'!$A$85:$A$126, 0)), 0)</f>
      </c>
      <c r="C15" t="str">
        <f>IFERROR(INDEX('7_Calc_DCS_den_ISIC'!$C$85:$C$126, MATCH($A15, '7_Calc_DCS_den_ISIC'!$A$85:$A$126, 0)), 0)</f>
      </c>
      <c r="D15" t="str">
        <f>B15/MAX(C15, Keys!$C$4)</f>
      </c>
      <c r="E15" t="str">
        <f>MIN(1, MAX(0, D15))</f>
      </c>
      <c r="F15" t="str">
        <f>IFERROR(INDEX('9b_DCS_overrides'!$B$2:$B$5, MATCH($A15, '9b_DCS_overrides'!$A$2:$A$5, 0)), E15)</f>
      </c>
    </row>
    <row r="16">
      <c r="A16" t="s">
        <v>488</v>
      </c>
      <c r="B16" t="str">
        <f>IFERROR(INDEX('6_Calc_DCS_num_ISIC'!$C$85:$C$126, MATCH($A16, '6_Calc_DCS_num_ISIC'!$A$85:$A$126, 0)), 0)</f>
      </c>
      <c r="C16" t="str">
        <f>IFERROR(INDEX('7_Calc_DCS_den_ISIC'!$C$85:$C$126, MATCH($A16, '7_Calc_DCS_den_ISIC'!$A$85:$A$126, 0)), 0)</f>
      </c>
      <c r="D16" t="str">
        <f>B16/MAX(C16, Keys!$C$4)</f>
      </c>
      <c r="E16" t="str">
        <f>MIN(1, MAX(0, D16))</f>
      </c>
      <c r="F16" t="str">
        <f>IFERROR(INDEX('9b_DCS_overrides'!$B$2:$B$5, MATCH($A16, '9b_DCS_overrides'!$A$2:$A$5, 0)), E16)</f>
      </c>
    </row>
    <row r="17">
      <c r="A17" t="s">
        <v>491</v>
      </c>
      <c r="B17" t="str">
        <f>IFERROR(INDEX('6_Calc_DCS_num_ISIC'!$C$85:$C$126, MATCH($A17, '6_Calc_DCS_num_ISIC'!$A$85:$A$126, 0)), 0)</f>
      </c>
      <c r="C17" t="str">
        <f>IFERROR(INDEX('7_Calc_DCS_den_ISIC'!$C$85:$C$126, MATCH($A17, '7_Calc_DCS_den_ISIC'!$A$85:$A$126, 0)), 0)</f>
      </c>
      <c r="D17" t="str">
        <f>B17/MAX(C17, Keys!$C$4)</f>
      </c>
      <c r="E17" t="str">
        <f>MIN(1, MAX(0, D17))</f>
      </c>
      <c r="F17" t="str">
        <f>IFERROR(INDEX('9b_DCS_overrides'!$B$2:$B$5, MATCH($A17, '9b_DCS_overrides'!$A$2:$A$5, 0)), E17)</f>
      </c>
    </row>
    <row r="18">
      <c r="A18" t="s">
        <v>379</v>
      </c>
      <c r="B18" t="str">
        <f>IFERROR(INDEX('6_Calc_DCS_num_ISIC'!$C$85:$C$126, MATCH($A18, '6_Calc_DCS_num_ISIC'!$A$85:$A$126, 0)), 0)</f>
      </c>
      <c r="C18" t="str">
        <f>IFERROR(INDEX('7_Calc_DCS_den_ISIC'!$C$85:$C$126, MATCH($A18, '7_Calc_DCS_den_ISIC'!$A$85:$A$126, 0)), 0)</f>
      </c>
      <c r="D18" t="str">
        <f>B18/MAX(C18, Keys!$C$4)</f>
      </c>
      <c r="E18" t="str">
        <f>MIN(1, MAX(0, D18))</f>
      </c>
      <c r="F18" t="str">
        <f>IFERROR(INDEX('9b_DCS_overrides'!$B$2:$B$5, MATCH($A18, '9b_DCS_overrides'!$A$2:$A$5, 0)), E18)</f>
      </c>
    </row>
    <row r="19">
      <c r="A19" t="s">
        <v>495</v>
      </c>
      <c r="B19" t="str">
        <f>IFERROR(INDEX('6_Calc_DCS_num_ISIC'!$C$85:$C$126, MATCH($A19, '6_Calc_DCS_num_ISIC'!$A$85:$A$126, 0)), 0)</f>
      </c>
      <c r="C19" t="str">
        <f>IFERROR(INDEX('7_Calc_DCS_den_ISIC'!$C$85:$C$126, MATCH($A19, '7_Calc_DCS_den_ISIC'!$A$85:$A$126, 0)), 0)</f>
      </c>
      <c r="D19" t="str">
        <f>B19/MAX(C19, Keys!$C$4)</f>
      </c>
      <c r="E19" t="str">
        <f>MIN(1, MAX(0, D19))</f>
      </c>
      <c r="F19" t="str">
        <f>IFERROR(INDEX('9b_DCS_overrides'!$B$2:$B$5, MATCH($A19, '9b_DCS_overrides'!$A$2:$A$5, 0)), E19)</f>
      </c>
    </row>
    <row r="20">
      <c r="A20" t="s">
        <v>385</v>
      </c>
      <c r="B20" t="str">
        <f>IFERROR(INDEX('6_Calc_DCS_num_ISIC'!$C$85:$C$126, MATCH($A20, '6_Calc_DCS_num_ISIC'!$A$85:$A$126, 0)), 0)</f>
      </c>
      <c r="C20" t="str">
        <f>IFERROR(INDEX('7_Calc_DCS_den_ISIC'!$C$85:$C$126, MATCH($A20, '7_Calc_DCS_den_ISIC'!$A$85:$A$126, 0)), 0)</f>
      </c>
      <c r="D20" t="str">
        <f>B20/MAX(C20, Keys!$C$4)</f>
      </c>
      <c r="E20" t="str">
        <f>MIN(1, MAX(0, D20))</f>
      </c>
      <c r="F20" t="str">
        <f>IFERROR(INDEX('9b_DCS_overrides'!$B$2:$B$5, MATCH($A20, '9b_DCS_overrides'!$A$2:$A$5, 0)), E20)</f>
      </c>
    </row>
    <row r="21">
      <c r="A21" t="s">
        <v>390</v>
      </c>
      <c r="B21" t="str">
        <f>IFERROR(INDEX('6_Calc_DCS_num_ISIC'!$C$85:$C$126, MATCH($A21, '6_Calc_DCS_num_ISIC'!$A$85:$A$126, 0)), 0)</f>
      </c>
      <c r="C21" t="str">
        <f>IFERROR(INDEX('7_Calc_DCS_den_ISIC'!$C$85:$C$126, MATCH($A21, '7_Calc_DCS_den_ISIC'!$A$85:$A$126, 0)), 0)</f>
      </c>
      <c r="D21" t="str">
        <f>B21/MAX(C21, Keys!$C$4)</f>
      </c>
      <c r="E21" t="str">
        <f>MIN(1, MAX(0, D21))</f>
      </c>
      <c r="F21" t="str">
        <f>IFERROR(INDEX('9b_DCS_overrides'!$B$2:$B$5, MATCH($A21, '9b_DCS_overrides'!$A$2:$A$5, 0)), E21)</f>
      </c>
    </row>
    <row r="22">
      <c r="A22" t="s">
        <v>393</v>
      </c>
      <c r="B22" t="str">
        <f>IFERROR(INDEX('6_Calc_DCS_num_ISIC'!$C$85:$C$126, MATCH($A22, '6_Calc_DCS_num_ISIC'!$A$85:$A$126, 0)), 0)</f>
      </c>
      <c r="C22" t="str">
        <f>IFERROR(INDEX('7_Calc_DCS_den_ISIC'!$C$85:$C$126, MATCH($A22, '7_Calc_DCS_den_ISIC'!$A$85:$A$126, 0)), 0)</f>
      </c>
      <c r="D22" t="str">
        <f>B22/MAX(C22, Keys!$C$4)</f>
      </c>
      <c r="E22" t="str">
        <f>MIN(1, MAX(0, D22))</f>
      </c>
      <c r="F22" t="str">
        <f>IFERROR(INDEX('9b_DCS_overrides'!$B$2:$B$5, MATCH($A22, '9b_DCS_overrides'!$A$2:$A$5, 0)), E22)</f>
      </c>
    </row>
    <row r="23">
      <c r="A23" t="s">
        <v>387</v>
      </c>
      <c r="B23" t="str">
        <f>IFERROR(INDEX('6_Calc_DCS_num_ISIC'!$C$85:$C$126, MATCH($A23, '6_Calc_DCS_num_ISIC'!$A$85:$A$126, 0)), 0)</f>
      </c>
      <c r="C23" t="str">
        <f>IFERROR(INDEX('7_Calc_DCS_den_ISIC'!$C$85:$C$126, MATCH($A23, '7_Calc_DCS_den_ISIC'!$A$85:$A$126, 0)), 0)</f>
      </c>
      <c r="D23" t="str">
        <f>B23/MAX(C23, Keys!$C$4)</f>
      </c>
      <c r="E23" t="str">
        <f>MIN(1, MAX(0, D23))</f>
      </c>
      <c r="F23" t="str">
        <f>IFERROR(INDEX('9b_DCS_overrides'!$B$2:$B$5, MATCH($A23, '9b_DCS_overrides'!$A$2:$A$5, 0)), E23)</f>
      </c>
    </row>
    <row r="24">
      <c r="A24" t="s">
        <v>396</v>
      </c>
      <c r="B24" t="str">
        <f>IFERROR(INDEX('6_Calc_DCS_num_ISIC'!$C$85:$C$126, MATCH($A24, '6_Calc_DCS_num_ISIC'!$A$85:$A$126, 0)), 0)</f>
      </c>
      <c r="C24" t="str">
        <f>IFERROR(INDEX('7_Calc_DCS_den_ISIC'!$C$85:$C$126, MATCH($A24, '7_Calc_DCS_den_ISIC'!$A$85:$A$126, 0)), 0)</f>
      </c>
      <c r="D24" t="str">
        <f>B24/MAX(C24, Keys!$C$4)</f>
      </c>
      <c r="E24" t="str">
        <f>MIN(1, MAX(0, D24))</f>
      </c>
      <c r="F24" t="str">
        <f>IFERROR(INDEX('9b_DCS_overrides'!$B$2:$B$5, MATCH($A24, '9b_DCS_overrides'!$A$2:$A$5, 0)), E24)</f>
      </c>
    </row>
    <row r="25">
      <c r="A25" t="s">
        <v>399</v>
      </c>
      <c r="B25" t="str">
        <f>IFERROR(INDEX('6_Calc_DCS_num_ISIC'!$C$85:$C$126, MATCH($A25, '6_Calc_DCS_num_ISIC'!$A$85:$A$126, 0)), 0)</f>
      </c>
      <c r="C25" t="str">
        <f>IFERROR(INDEX('7_Calc_DCS_den_ISIC'!$C$85:$C$126, MATCH($A25, '7_Calc_DCS_den_ISIC'!$A$85:$A$126, 0)), 0)</f>
      </c>
      <c r="D25" t="str">
        <f>B25/MAX(C25, Keys!$C$4)</f>
      </c>
      <c r="E25" t="str">
        <f>MIN(1, MAX(0, D25))</f>
      </c>
      <c r="F25" t="str">
        <f>IFERROR(INDEX('9b_DCS_overrides'!$B$2:$B$5, MATCH($A25, '9b_DCS_overrides'!$A$2:$A$5, 0)), E25)</f>
      </c>
    </row>
    <row r="26">
      <c r="A26" t="s">
        <v>402</v>
      </c>
      <c r="B26" t="str">
        <f>IFERROR(INDEX('6_Calc_DCS_num_ISIC'!$C$85:$C$126, MATCH($A26, '6_Calc_DCS_num_ISIC'!$A$85:$A$126, 0)), 0)</f>
      </c>
      <c r="C26" t="str">
        <f>IFERROR(INDEX('7_Calc_DCS_den_ISIC'!$C$85:$C$126, MATCH($A26, '7_Calc_DCS_den_ISIC'!$A$85:$A$126, 0)), 0)</f>
      </c>
      <c r="D26" t="str">
        <f>B26/MAX(C26, Keys!$C$4)</f>
      </c>
      <c r="E26" t="str">
        <f>MIN(1, MAX(0, D26))</f>
      </c>
      <c r="F26" t="str">
        <f>IFERROR(INDEX('9b_DCS_overrides'!$B$2:$B$5, MATCH($A26, '9b_DCS_overrides'!$A$2:$A$5, 0)), E26)</f>
      </c>
    </row>
    <row r="27">
      <c r="A27" t="s">
        <v>350</v>
      </c>
      <c r="B27" t="str">
        <f>IFERROR(INDEX('6_Calc_DCS_num_ISIC'!$C$85:$C$126, MATCH($A27, '6_Calc_DCS_num_ISIC'!$A$85:$A$126, 0)), 0)</f>
      </c>
      <c r="C27" t="str">
        <f>IFERROR(INDEX('7_Calc_DCS_den_ISIC'!$C$85:$C$126, MATCH($A27, '7_Calc_DCS_den_ISIC'!$A$85:$A$126, 0)), 0)</f>
      </c>
      <c r="D27" t="str">
        <f>B27/MAX(C27, Keys!$C$4)</f>
      </c>
      <c r="E27" t="str">
        <f>MIN(1, MAX(0, D27))</f>
      </c>
      <c r="F27" t="str">
        <f>IFERROR(INDEX('9b_DCS_overrides'!$B$2:$B$5, MATCH($A27, '9b_DCS_overrides'!$A$2:$A$5, 0)), E27)</f>
      </c>
    </row>
    <row r="28">
      <c r="A28" t="s">
        <v>353</v>
      </c>
      <c r="B28" t="str">
        <f>IFERROR(INDEX('6_Calc_DCS_num_ISIC'!$C$85:$C$126, MATCH($A28, '6_Calc_DCS_num_ISIC'!$A$85:$A$126, 0)), 0)</f>
      </c>
      <c r="C28" t="str">
        <f>IFERROR(INDEX('7_Calc_DCS_den_ISIC'!$C$85:$C$126, MATCH($A28, '7_Calc_DCS_den_ISIC'!$A$85:$A$126, 0)), 0)</f>
      </c>
      <c r="D28" t="str">
        <f>B28/MAX(C28, Keys!$C$4)</f>
      </c>
      <c r="E28" t="str">
        <f>MIN(1, MAX(0, D28))</f>
      </c>
      <c r="F28" t="str">
        <f>IFERROR(INDEX('9b_DCS_overrides'!$B$2:$B$5, MATCH($A28, '9b_DCS_overrides'!$A$2:$A$5, 0)), E28)</f>
      </c>
    </row>
    <row r="29">
      <c r="A29" t="s">
        <v>356</v>
      </c>
      <c r="B29" t="str">
        <f>IFERROR(INDEX('6_Calc_DCS_num_ISIC'!$C$85:$C$126, MATCH($A29, '6_Calc_DCS_num_ISIC'!$A$85:$A$126, 0)), 0)</f>
      </c>
      <c r="C29" t="str">
        <f>IFERROR(INDEX('7_Calc_DCS_den_ISIC'!$C$85:$C$126, MATCH($A29, '7_Calc_DCS_den_ISIC'!$A$85:$A$126, 0)), 0)</f>
      </c>
      <c r="D29" t="str">
        <f>B29/MAX(C29, Keys!$C$4)</f>
      </c>
      <c r="E29" t="str">
        <f>MIN(1, MAX(0, D29))</f>
      </c>
      <c r="F29" t="str">
        <f>IFERROR(INDEX('9b_DCS_overrides'!$B$2:$B$5, MATCH($A29, '9b_DCS_overrides'!$A$2:$A$5, 0)), E29)</f>
      </c>
    </row>
    <row r="30">
      <c r="A30" t="s">
        <v>360</v>
      </c>
      <c r="B30" t="str">
        <f>IFERROR(INDEX('6_Calc_DCS_num_ISIC'!$C$85:$C$126, MATCH($A30, '6_Calc_DCS_num_ISIC'!$A$85:$A$126, 0)), 0)</f>
      </c>
      <c r="C30" t="str">
        <f>IFERROR(INDEX('7_Calc_DCS_den_ISIC'!$C$85:$C$126, MATCH($A30, '7_Calc_DCS_den_ISIC'!$A$85:$A$126, 0)), 0)</f>
      </c>
      <c r="D30" t="str">
        <f>B30/MAX(C30, Keys!$C$4)</f>
      </c>
      <c r="E30" t="str">
        <f>MIN(1, MAX(0, D30))</f>
      </c>
      <c r="F30" t="str">
        <f>IFERROR(INDEX('9b_DCS_overrides'!$B$2:$B$5, MATCH($A30, '9b_DCS_overrides'!$A$2:$A$5, 0)), E30)</f>
      </c>
    </row>
    <row r="31">
      <c r="A31" t="s">
        <v>406</v>
      </c>
      <c r="B31" t="str">
        <f>IFERROR(INDEX('6_Calc_DCS_num_ISIC'!$C$85:$C$126, MATCH($A31, '6_Calc_DCS_num_ISIC'!$A$85:$A$126, 0)), 0)</f>
      </c>
      <c r="C31" t="str">
        <f>IFERROR(INDEX('7_Calc_DCS_den_ISIC'!$C$85:$C$126, MATCH($A31, '7_Calc_DCS_den_ISIC'!$A$85:$A$126, 0)), 0)</f>
      </c>
      <c r="D31" t="str">
        <f>B31/MAX(C31, Keys!$C$4)</f>
      </c>
      <c r="E31" t="str">
        <f>MIN(1, MAX(0, D31))</f>
      </c>
      <c r="F31" t="str">
        <f>IFERROR(INDEX('9b_DCS_overrides'!$B$2:$B$5, MATCH($A31, '9b_DCS_overrides'!$A$2:$A$5, 0)), E31)</f>
      </c>
    </row>
    <row r="32">
      <c r="A32" t="s">
        <v>413</v>
      </c>
      <c r="B32" t="str">
        <f>IFERROR(INDEX('6_Calc_DCS_num_ISIC'!$C$85:$C$126, MATCH($A32, '6_Calc_DCS_num_ISIC'!$A$85:$A$126, 0)), 0)</f>
      </c>
      <c r="C32" t="str">
        <f>IFERROR(INDEX('7_Calc_DCS_den_ISIC'!$C$85:$C$126, MATCH($A32, '7_Calc_DCS_den_ISIC'!$A$85:$A$126, 0)), 0)</f>
      </c>
      <c r="D32" t="str">
        <f>B32/MAX(C32, Keys!$C$4)</f>
      </c>
      <c r="E32" t="str">
        <f>MIN(1, MAX(0, D32))</f>
      </c>
      <c r="F32" t="str">
        <f>IFERROR(INDEX('9b_DCS_overrides'!$B$2:$B$5, MATCH($A32, '9b_DCS_overrides'!$A$2:$A$5, 0)), E32)</f>
      </c>
    </row>
    <row r="33">
      <c r="A33" t="s">
        <v>470</v>
      </c>
      <c r="B33" t="str">
        <f>IFERROR(INDEX('6_Calc_DCS_num_ISIC'!$C$85:$C$126, MATCH($A33, '6_Calc_DCS_num_ISIC'!$A$85:$A$126, 0)), 0)</f>
      </c>
      <c r="C33" t="str">
        <f>IFERROR(INDEX('7_Calc_DCS_den_ISIC'!$C$85:$C$126, MATCH($A33, '7_Calc_DCS_den_ISIC'!$A$85:$A$126, 0)), 0)</f>
      </c>
      <c r="D33" t="str">
        <f>B33/MAX(C33, Keys!$C$4)</f>
      </c>
      <c r="E33" t="str">
        <f>MIN(1, MAX(0, D33))</f>
      </c>
      <c r="F33" t="str">
        <f>IFERROR(INDEX('9b_DCS_overrides'!$B$2:$B$5, MATCH($A33, '9b_DCS_overrides'!$A$2:$A$5, 0)), E33)</f>
      </c>
    </row>
    <row r="34">
      <c r="A34" t="s">
        <v>425</v>
      </c>
      <c r="B34" t="str">
        <f>IFERROR(INDEX('6_Calc_DCS_num_ISIC'!$C$85:$C$126, MATCH($A34, '6_Calc_DCS_num_ISIC'!$A$85:$A$126, 0)), 0)</f>
      </c>
      <c r="C34" t="str">
        <f>IFERROR(INDEX('7_Calc_DCS_den_ISIC'!$C$85:$C$126, MATCH($A34, '7_Calc_DCS_den_ISIC'!$A$85:$A$126, 0)), 0)</f>
      </c>
      <c r="D34" t="str">
        <f>B34/MAX(C34, Keys!$C$4)</f>
      </c>
      <c r="E34" t="str">
        <f>MIN(1, MAX(0, D34))</f>
      </c>
      <c r="F34" t="str">
        <f>IFERROR(INDEX('9b_DCS_overrides'!$B$2:$B$5, MATCH($A34, '9b_DCS_overrides'!$A$2:$A$5, 0)), E34)</f>
      </c>
    </row>
    <row r="35">
      <c r="A35" t="s">
        <v>177</v>
      </c>
      <c r="B35" t="str">
        <f>IFERROR(INDEX('6_Calc_DCS_num_ISIC'!$C$85:$C$126, MATCH($A35, '6_Calc_DCS_num_ISIC'!$A$85:$A$126, 0)), 0)</f>
      </c>
      <c r="C35" t="str">
        <f>IFERROR(INDEX('7_Calc_DCS_den_ISIC'!$C$85:$C$126, MATCH($A35, '7_Calc_DCS_den_ISIC'!$A$85:$A$126, 0)), 0)</f>
      </c>
      <c r="D35" t="str">
        <f>B35/MAX(C35, Keys!$C$4)</f>
      </c>
      <c r="E35" t="str">
        <f>MIN(1, MAX(0, D35))</f>
      </c>
      <c r="F35" t="str">
        <f>IFERROR(INDEX('9b_DCS_overrides'!$B$2:$B$5, MATCH($A35, '9b_DCS_overrides'!$A$2:$A$5, 0)), E35)</f>
      </c>
    </row>
    <row r="36">
      <c r="A36" t="s">
        <v>432</v>
      </c>
      <c r="B36" t="str">
        <f>IFERROR(INDEX('6_Calc_DCS_num_ISIC'!$C$85:$C$126, MATCH($A36, '6_Calc_DCS_num_ISIC'!$A$85:$A$126, 0)), 0)</f>
      </c>
      <c r="C36" t="str">
        <f>IFERROR(INDEX('7_Calc_DCS_den_ISIC'!$C$85:$C$126, MATCH($A36, '7_Calc_DCS_den_ISIC'!$A$85:$A$126, 0)), 0)</f>
      </c>
      <c r="D36" t="str">
        <f>B36/MAX(C36, Keys!$C$4)</f>
      </c>
      <c r="E36" t="str">
        <f>MIN(1, MAX(0, D36))</f>
      </c>
      <c r="F36" t="str">
        <f>IFERROR(INDEX('9b_DCS_overrides'!$B$2:$B$5, MATCH($A36, '9b_DCS_overrides'!$A$2:$A$5, 0)), E36)</f>
      </c>
    </row>
    <row r="37">
      <c r="A37" t="s">
        <v>435</v>
      </c>
      <c r="B37" t="str">
        <f>IFERROR(INDEX('6_Calc_DCS_num_ISIC'!$C$85:$C$126, MATCH($A37, '6_Calc_DCS_num_ISIC'!$A$85:$A$126, 0)), 0)</f>
      </c>
      <c r="C37" t="str">
        <f>IFERROR(INDEX('7_Calc_DCS_den_ISIC'!$C$85:$C$126, MATCH($A37, '7_Calc_DCS_den_ISIC'!$A$85:$A$126, 0)), 0)</f>
      </c>
      <c r="D37" t="str">
        <f>B37/MAX(C37, Keys!$C$4)</f>
      </c>
      <c r="E37" t="str">
        <f>MIN(1, MAX(0, D37))</f>
      </c>
      <c r="F37" t="str">
        <f>IFERROR(INDEX('9b_DCS_overrides'!$B$2:$B$5, MATCH($A37, '9b_DCS_overrides'!$A$2:$A$5, 0)), E37)</f>
      </c>
    </row>
    <row r="38">
      <c r="A38" t="s">
        <v>441</v>
      </c>
      <c r="B38" t="str">
        <f>IFERROR(INDEX('6_Calc_DCS_num_ISIC'!$C$85:$C$126, MATCH($A38, '6_Calc_DCS_num_ISIC'!$A$85:$A$126, 0)), 0)</f>
      </c>
      <c r="C38" t="str">
        <f>IFERROR(INDEX('7_Calc_DCS_den_ISIC'!$C$85:$C$126, MATCH($A38, '7_Calc_DCS_den_ISIC'!$A$85:$A$126, 0)), 0)</f>
      </c>
      <c r="D38" t="str">
        <f>B38/MAX(C38, Keys!$C$4)</f>
      </c>
      <c r="E38" t="str">
        <f>MIN(1, MAX(0, D38))</f>
      </c>
      <c r="F38" t="str">
        <f>IFERROR(INDEX('9b_DCS_overrides'!$B$2:$B$5, MATCH($A38, '9b_DCS_overrides'!$A$2:$A$5, 0)), E38)</f>
      </c>
    </row>
    <row r="39">
      <c r="A39" t="s">
        <v>445</v>
      </c>
      <c r="B39" t="str">
        <f>IFERROR(INDEX('6_Calc_DCS_num_ISIC'!$C$85:$C$126, MATCH($A39, '6_Calc_DCS_num_ISIC'!$A$85:$A$126, 0)), 0)</f>
      </c>
      <c r="C39" t="str">
        <f>IFERROR(INDEX('7_Calc_DCS_den_ISIC'!$C$85:$C$126, MATCH($A39, '7_Calc_DCS_den_ISIC'!$A$85:$A$126, 0)), 0)</f>
      </c>
      <c r="D39" t="str">
        <f>B39/MAX(C39, Keys!$C$4)</f>
      </c>
      <c r="E39" t="str">
        <f>MIN(1, MAX(0, D39))</f>
      </c>
      <c r="F39" t="str">
        <f>IFERROR(INDEX('9b_DCS_overrides'!$B$2:$B$5, MATCH($A39, '9b_DCS_overrides'!$A$2:$A$5, 0)), E39)</f>
      </c>
    </row>
    <row r="40">
      <c r="A40" t="s">
        <v>475</v>
      </c>
      <c r="B40" t="str">
        <f>IFERROR(INDEX('6_Calc_DCS_num_ISIC'!$C$85:$C$126, MATCH($A40, '6_Calc_DCS_num_ISIC'!$A$85:$A$126, 0)), 0)</f>
      </c>
      <c r="C40" t="str">
        <f>IFERROR(INDEX('7_Calc_DCS_den_ISIC'!$C$85:$C$126, MATCH($A40, '7_Calc_DCS_den_ISIC'!$A$85:$A$126, 0)), 0)</f>
      </c>
      <c r="D40" t="str">
        <f>B40/MAX(C40, Keys!$C$4)</f>
      </c>
      <c r="E40" t="str">
        <f>MIN(1, MAX(0, D40))</f>
      </c>
      <c r="F40" t="str">
        <f>IFERROR(INDEX('9b_DCS_overrides'!$B$2:$B$5, MATCH($A40, '9b_DCS_overrides'!$A$2:$A$5, 0)), E40)</f>
      </c>
    </row>
    <row r="41">
      <c r="A41" t="s">
        <v>457</v>
      </c>
      <c r="B41" t="str">
        <f>IFERROR(INDEX('6_Calc_DCS_num_ISIC'!$C$85:$C$126, MATCH($A41, '6_Calc_DCS_num_ISIC'!$A$85:$A$126, 0)), 0)</f>
      </c>
      <c r="C41" t="str">
        <f>IFERROR(INDEX('7_Calc_DCS_den_ISIC'!$C$85:$C$126, MATCH($A41, '7_Calc_DCS_den_ISIC'!$A$85:$A$126, 0)), 0)</f>
      </c>
      <c r="D41" t="str">
        <f>B41/MAX(C41, Keys!$C$4)</f>
      </c>
      <c r="E41" t="str">
        <f>MIN(1, MAX(0, D41))</f>
      </c>
      <c r="F41" t="str">
        <f>IFERROR(INDEX('9b_DCS_overrides'!$B$2:$B$5, MATCH($A41, '9b_DCS_overrides'!$A$2:$A$5, 0)), E41)</f>
      </c>
    </row>
    <row r="42">
      <c r="A42" t="s">
        <v>460</v>
      </c>
      <c r="B42" t="str">
        <f>IFERROR(INDEX('6_Calc_DCS_num_ISIC'!$C$85:$C$126, MATCH($A42, '6_Calc_DCS_num_ISIC'!$A$85:$A$126, 0)), 0)</f>
      </c>
      <c r="C42" t="str">
        <f>IFERROR(INDEX('7_Calc_DCS_den_ISIC'!$C$85:$C$126, MATCH($A42, '7_Calc_DCS_den_ISIC'!$A$85:$A$126, 0)), 0)</f>
      </c>
      <c r="D42" t="str">
        <f>B42/MAX(C42, Keys!$C$4)</f>
      </c>
      <c r="E42" t="str">
        <f>MIN(1, MAX(0, D42))</f>
      </c>
      <c r="F42" t="str">
        <f>IFERROR(INDEX('9b_DCS_overrides'!$B$2:$B$5, MATCH($A42, '9b_DCS_overrides'!$A$2:$A$5, 0)), E42)</f>
      </c>
    </row>
    <row r="43">
      <c r="A43" t="s">
        <v>466</v>
      </c>
      <c r="B43" t="str">
        <f>IFERROR(INDEX('6_Calc_DCS_num_ISIC'!$C$85:$C$126, MATCH($A43, '6_Calc_DCS_num_ISIC'!$A$85:$A$126, 0)), 0)</f>
      </c>
      <c r="C43" t="str">
        <f>IFERROR(INDEX('7_Calc_DCS_den_ISIC'!$C$85:$C$126, MATCH($A43, '7_Calc_DCS_den_ISIC'!$A$85:$A$126, 0)), 0)</f>
      </c>
      <c r="D43" t="str">
        <f>B43/MAX(C43, Keys!$C$4)</f>
      </c>
      <c r="E43" t="str">
        <f>MIN(1, MAX(0, D43))</f>
      </c>
      <c r="F43" t="str">
        <f>IFERROR(INDEX('9b_DCS_overrides'!$B$2:$B$5, MATCH($A43, '9b_DCS_overrides'!$A$2:$A$5, 0)), E43)</f>
      </c>
    </row>
    <row r="44">
      <c r="A44" t="s">
        <v>583</v>
      </c>
      <c r="B44" t="str">
        <f>IFERROR(INDEX('6_Calc_DCS_num_ISIC'!$C$85:$C$126, MATCH($A44, '6_Calc_DCS_num_ISIC'!$A$85:$A$126, 0)), 0)</f>
      </c>
      <c r="C44" t="str">
        <f>IFERROR(INDEX('7_Calc_DCS_den_ISIC'!$C$85:$C$126, MATCH($A44, '7_Calc_DCS_den_ISIC'!$A$85:$A$126, 0)), 0)</f>
      </c>
      <c r="D44" t="str">
        <f>B44/MAX(C44, Keys!$C$4)</f>
      </c>
      <c r="E44" t="str">
        <f>MIN(1, MAX(0, D44))</f>
      </c>
      <c r="F44" t="str">
        <f>IFERROR(INDEX('9b_DCS_overrides'!$B$2:$B$5, MATCH($A44, '9b_DCS_overrides'!$A$2:$A$5,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609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IFERROR(INDEX('8_Calc_Exp_ISIC'!$C$85:$C$126, MATCH($A3, '8_Calc_Exp_ISIC'!$A$85:$A$126, 0)), 0)</f>
      </c>
      <c r="C3" t="str">
        <f>IFERROR(INDEX('9_Output_by_ISIC'!$B$2:$B$43, MATCH($A3, '9_Output_by_ISIC'!$A$2:$A$43, 0)), 0)</f>
      </c>
      <c r="D3" t="str">
        <f>B3/MAX(C3, Keys!$C$4)</f>
      </c>
      <c r="E3" t="str">
        <f>MIN(1, MAX(0, D3))</f>
      </c>
      <c r="F3" t="str">
        <f>IFERROR(INDEX('9c_ESoP_overrides'!$B$2:$B$3, MATCH($A3, '9c_ESoP_overrides'!$A$2:$A$3, 0)), E3)</f>
      </c>
    </row>
    <row r="4">
      <c r="A4" t="s">
        <v>482</v>
      </c>
      <c r="B4" t="str">
        <f>IFERROR(INDEX('8_Calc_Exp_ISIC'!$C$85:$C$126, MATCH($A4, '8_Calc_Exp_ISIC'!$A$85:$A$126, 0)), 0)</f>
      </c>
      <c r="C4" t="str">
        <f>IFERROR(INDEX('9_Output_by_ISIC'!$B$2:$B$43, MATCH($A4, '9_Output_by_ISIC'!$A$2:$A$43, 0)), 0)</f>
      </c>
      <c r="D4" t="str">
        <f>B4/MAX(C4, Keys!$C$4)</f>
      </c>
      <c r="E4" t="str">
        <f>MIN(1, MAX(0, D4))</f>
      </c>
      <c r="F4" t="str">
        <f>IFERROR(INDEX('9c_ESoP_overrides'!$B$2:$B$3, MATCH($A4, '9c_ESoP_overrides'!$A$2:$A$3, 0)), E4)</f>
      </c>
    </row>
    <row r="5">
      <c r="A5" t="s">
        <v>344</v>
      </c>
      <c r="B5" t="str">
        <f>IFERROR(INDEX('8_Calc_Exp_ISIC'!$C$85:$C$126, MATCH($A5, '8_Calc_Exp_ISIC'!$A$85:$A$126, 0)), 0)</f>
      </c>
      <c r="C5" t="str">
        <f>IFERROR(INDEX('9_Output_by_ISIC'!$B$2:$B$43, MATCH($A5, '9_Output_by_ISIC'!$A$2:$A$43, 0)), 0)</f>
      </c>
      <c r="D5" t="str">
        <f>B5/MAX(C5, Keys!$C$4)</f>
      </c>
      <c r="E5" t="str">
        <f>MIN(1, MAX(0, D5))</f>
      </c>
      <c r="F5" t="str">
        <f>IFERROR(INDEX('9c_ESoP_overrides'!$B$2:$B$3, MATCH($A5, '9c_ESoP_overrides'!$A$2:$A$3, 0)), E5)</f>
      </c>
    </row>
    <row r="6">
      <c r="A6" t="s">
        <v>485</v>
      </c>
      <c r="B6" t="str">
        <f>IFERROR(INDEX('8_Calc_Exp_ISIC'!$C$85:$C$126, MATCH($A6, '8_Calc_Exp_ISIC'!$A$85:$A$126, 0)), 0)</f>
      </c>
      <c r="C6" t="str">
        <f>IFERROR(INDEX('9_Output_by_ISIC'!$B$2:$B$43, MATCH($A6, '9_Output_by_ISIC'!$A$2:$A$43, 0)), 0)</f>
      </c>
      <c r="D6" t="str">
        <f>B6/MAX(C6, Keys!$C$4)</f>
      </c>
      <c r="E6" t="str">
        <f>MIN(1, MAX(0, D6))</f>
      </c>
      <c r="F6" t="str">
        <f>IFERROR(INDEX('9c_ESoP_overrides'!$B$2:$B$3, MATCH($A6, '9c_ESoP_overrides'!$A$2:$A$3, 0)), E6)</f>
      </c>
    </row>
    <row r="7">
      <c r="A7" t="s">
        <v>347</v>
      </c>
      <c r="B7" t="str">
        <f>IFERROR(INDEX('8_Calc_Exp_ISIC'!$C$85:$C$126, MATCH($A7, '8_Calc_Exp_ISIC'!$A$85:$A$126, 0)), 0)</f>
      </c>
      <c r="C7" t="str">
        <f>IFERROR(INDEX('9_Output_by_ISIC'!$B$2:$B$43, MATCH($A7, '9_Output_by_ISIC'!$A$2:$A$43, 0)), 0)</f>
      </c>
      <c r="D7" t="str">
        <f>B7/MAX(C7, Keys!$C$4)</f>
      </c>
      <c r="E7" t="str">
        <f>MIN(1, MAX(0, D7))</f>
      </c>
      <c r="F7" t="str">
        <f>IFERROR(INDEX('9c_ESoP_overrides'!$B$2:$B$3, MATCH($A7, '9c_ESoP_overrides'!$A$2:$A$3, 0)), E7)</f>
      </c>
    </row>
    <row r="8">
      <c r="A8" t="s">
        <v>362</v>
      </c>
      <c r="B8" t="str">
        <f>IFERROR(INDEX('8_Calc_Exp_ISIC'!$C$85:$C$126, MATCH($A8, '8_Calc_Exp_ISIC'!$A$85:$A$126, 0)), 0)</f>
      </c>
      <c r="C8" t="str">
        <f>IFERROR(INDEX('9_Output_by_ISIC'!$B$2:$B$43, MATCH($A8, '9_Output_by_ISIC'!$A$2:$A$43, 0)), 0)</f>
      </c>
      <c r="D8" t="str">
        <f>B8/MAX(C8, Keys!$C$4)</f>
      </c>
      <c r="E8" t="str">
        <f>MIN(1, MAX(0, D8))</f>
      </c>
      <c r="F8" t="str">
        <f>IFERROR(INDEX('9c_ESoP_overrides'!$B$2:$B$3, MATCH($A8, '9c_ESoP_overrides'!$A$2:$A$3, 0)), E8)</f>
      </c>
    </row>
    <row r="9">
      <c r="A9" t="s">
        <v>365</v>
      </c>
      <c r="B9" t="str">
        <f>IFERROR(INDEX('8_Calc_Exp_ISIC'!$C$85:$C$126, MATCH($A9, '8_Calc_Exp_ISIC'!$A$85:$A$126, 0)), 0)</f>
      </c>
      <c r="C9" t="str">
        <f>IFERROR(INDEX('9_Output_by_ISIC'!$B$2:$B$43, MATCH($A9, '9_Output_by_ISIC'!$A$2:$A$43, 0)), 0)</f>
      </c>
      <c r="D9" t="str">
        <f>B9/MAX(C9, Keys!$C$4)</f>
      </c>
      <c r="E9" t="str">
        <f>MIN(1, MAX(0, D9))</f>
      </c>
      <c r="F9" t="str">
        <f>IFERROR(INDEX('9c_ESoP_overrides'!$B$2:$B$3, MATCH($A9, '9c_ESoP_overrides'!$A$2:$A$3, 0)), E9)</f>
      </c>
    </row>
    <row r="10">
      <c r="A10" t="s">
        <v>369</v>
      </c>
      <c r="B10" t="str">
        <f>IFERROR(INDEX('8_Calc_Exp_ISIC'!$C$85:$C$126, MATCH($A10, '8_Calc_Exp_ISIC'!$A$85:$A$126, 0)), 0)</f>
      </c>
      <c r="C10" t="str">
        <f>IFERROR(INDEX('9_Output_by_ISIC'!$B$2:$B$43, MATCH($A10, '9_Output_by_ISIC'!$A$2:$A$43, 0)), 0)</f>
      </c>
      <c r="D10" t="str">
        <f>B10/MAX(C10, Keys!$C$4)</f>
      </c>
      <c r="E10" t="str">
        <f>MIN(1, MAX(0, D10))</f>
      </c>
      <c r="F10" t="str">
        <f>IFERROR(INDEX('9c_ESoP_overrides'!$B$2:$B$3, MATCH($A10, '9c_ESoP_overrides'!$A$2:$A$3, 0)), E10)</f>
      </c>
    </row>
    <row r="11">
      <c r="A11" t="s">
        <v>372</v>
      </c>
      <c r="B11" t="str">
        <f>IFERROR(INDEX('8_Calc_Exp_ISIC'!$C$85:$C$126, MATCH($A11, '8_Calc_Exp_ISIC'!$A$85:$A$126, 0)), 0)</f>
      </c>
      <c r="C11" t="str">
        <f>IFERROR(INDEX('9_Output_by_ISIC'!$B$2:$B$43, MATCH($A11, '9_Output_by_ISIC'!$A$2:$A$43, 0)), 0)</f>
      </c>
      <c r="D11" t="str">
        <f>B11/MAX(C11, Keys!$C$4)</f>
      </c>
      <c r="E11" t="str">
        <f>MIN(1, MAX(0, D11))</f>
      </c>
      <c r="F11" t="str">
        <f>IFERROR(INDEX('9c_ESoP_overrides'!$B$2:$B$3, MATCH($A11, '9c_ESoP_overrides'!$A$2:$A$3, 0)), E11)</f>
      </c>
    </row>
    <row r="12">
      <c r="A12" t="s">
        <v>376</v>
      </c>
      <c r="B12" t="str">
        <f>IFERROR(INDEX('8_Calc_Exp_ISIC'!$C$85:$C$126, MATCH($A12, '8_Calc_Exp_ISIC'!$A$85:$A$126, 0)), 0)</f>
      </c>
      <c r="C12" t="str">
        <f>IFERROR(INDEX('9_Output_by_ISIC'!$B$2:$B$43, MATCH($A12, '9_Output_by_ISIC'!$A$2:$A$43, 0)), 0)</f>
      </c>
      <c r="D12" t="str">
        <f>B12/MAX(C12, Keys!$C$4)</f>
      </c>
      <c r="E12" t="str">
        <f>MIN(1, MAX(0, D12))</f>
      </c>
      <c r="F12" t="str">
        <f>IFERROR(INDEX('9c_ESoP_overrides'!$B$2:$B$3, MATCH($A12, '9c_ESoP_overrides'!$A$2:$A$3, 0)), E12)</f>
      </c>
    </row>
    <row r="13">
      <c r="A13" t="s">
        <v>498</v>
      </c>
      <c r="B13" t="str">
        <f>IFERROR(INDEX('8_Calc_Exp_ISIC'!$C$85:$C$126, MATCH($A13, '8_Calc_Exp_ISIC'!$A$85:$A$126, 0)), 0)</f>
      </c>
      <c r="C13" t="str">
        <f>IFERROR(INDEX('9_Output_by_ISIC'!$B$2:$B$43, MATCH($A13, '9_Output_by_ISIC'!$A$2:$A$43, 0)), 0)</f>
      </c>
      <c r="D13" t="str">
        <f>B13/MAX(C13, Keys!$C$4)</f>
      </c>
      <c r="E13" t="str">
        <f>MIN(1, MAX(0, D13))</f>
      </c>
      <c r="F13" t="str">
        <f>IFERROR(INDEX('9c_ESoP_overrides'!$B$2:$B$3, MATCH($A13, '9c_ESoP_overrides'!$A$2:$A$3, 0)), E13)</f>
      </c>
    </row>
    <row r="14">
      <c r="A14" t="s">
        <v>501</v>
      </c>
      <c r="B14" t="str">
        <f>IFERROR(INDEX('8_Calc_Exp_ISIC'!$C$85:$C$126, MATCH($A14, '8_Calc_Exp_ISIC'!$A$85:$A$126, 0)), 0)</f>
      </c>
      <c r="C14" t="str">
        <f>IFERROR(INDEX('9_Output_by_ISIC'!$B$2:$B$43, MATCH($A14, '9_Output_by_ISIC'!$A$2:$A$43, 0)), 0)</f>
      </c>
      <c r="D14" t="str">
        <f>B14/MAX(C14, Keys!$C$4)</f>
      </c>
      <c r="E14" t="str">
        <f>MIN(1, MAX(0, D14))</f>
      </c>
      <c r="F14" t="str">
        <f>IFERROR(INDEX('9c_ESoP_overrides'!$B$2:$B$3, MATCH($A14, '9c_ESoP_overrides'!$A$2:$A$3, 0)), E14)</f>
      </c>
    </row>
    <row r="15">
      <c r="A15" t="s">
        <v>126</v>
      </c>
      <c r="B15" t="str">
        <f>IFERROR(INDEX('8_Calc_Exp_ISIC'!$C$85:$C$126, MATCH($A15, '8_Calc_Exp_ISIC'!$A$85:$A$126, 0)), 0)</f>
      </c>
      <c r="C15" t="str">
        <f>IFERROR(INDEX('9_Output_by_ISIC'!$B$2:$B$43, MATCH($A15, '9_Output_by_ISIC'!$A$2:$A$43, 0)), 0)</f>
      </c>
      <c r="D15" t="str">
        <f>B15/MAX(C15, Keys!$C$4)</f>
      </c>
      <c r="E15" t="str">
        <f>MIN(1, MAX(0, D15))</f>
      </c>
      <c r="F15" t="str">
        <f>IFERROR(INDEX('9c_ESoP_overrides'!$B$2:$B$3, MATCH($A15, '9c_ESoP_overrides'!$A$2:$A$3, 0)), E15)</f>
      </c>
    </row>
    <row r="16">
      <c r="A16" t="s">
        <v>488</v>
      </c>
      <c r="B16" t="str">
        <f>IFERROR(INDEX('8_Calc_Exp_ISIC'!$C$85:$C$126, MATCH($A16, '8_Calc_Exp_ISIC'!$A$85:$A$126, 0)), 0)</f>
      </c>
      <c r="C16" t="str">
        <f>IFERROR(INDEX('9_Output_by_ISIC'!$B$2:$B$43, MATCH($A16, '9_Output_by_ISIC'!$A$2:$A$43, 0)), 0)</f>
      </c>
      <c r="D16" t="str">
        <f>B16/MAX(C16, Keys!$C$4)</f>
      </c>
      <c r="E16" t="str">
        <f>MIN(1, MAX(0, D16))</f>
      </c>
      <c r="F16" t="str">
        <f>IFERROR(INDEX('9c_ESoP_overrides'!$B$2:$B$3, MATCH($A16, '9c_ESoP_overrides'!$A$2:$A$3, 0)), E16)</f>
      </c>
    </row>
    <row r="17">
      <c r="A17" t="s">
        <v>491</v>
      </c>
      <c r="B17" t="str">
        <f>IFERROR(INDEX('8_Calc_Exp_ISIC'!$C$85:$C$126, MATCH($A17, '8_Calc_Exp_ISIC'!$A$85:$A$126, 0)), 0)</f>
      </c>
      <c r="C17" t="str">
        <f>IFERROR(INDEX('9_Output_by_ISIC'!$B$2:$B$43, MATCH($A17, '9_Output_by_ISIC'!$A$2:$A$43, 0)), 0)</f>
      </c>
      <c r="D17" t="str">
        <f>B17/MAX(C17, Keys!$C$4)</f>
      </c>
      <c r="E17" t="str">
        <f>MIN(1, MAX(0, D17))</f>
      </c>
      <c r="F17" t="str">
        <f>IFERROR(INDEX('9c_ESoP_overrides'!$B$2:$B$3, MATCH($A17, '9c_ESoP_overrides'!$A$2:$A$3, 0)), E17)</f>
      </c>
    </row>
    <row r="18">
      <c r="A18" t="s">
        <v>379</v>
      </c>
      <c r="B18" t="str">
        <f>IFERROR(INDEX('8_Calc_Exp_ISIC'!$C$85:$C$126, MATCH($A18, '8_Calc_Exp_ISIC'!$A$85:$A$126, 0)), 0)</f>
      </c>
      <c r="C18" t="str">
        <f>IFERROR(INDEX('9_Output_by_ISIC'!$B$2:$B$43, MATCH($A18, '9_Output_by_ISIC'!$A$2:$A$43, 0)), 0)</f>
      </c>
      <c r="D18" t="str">
        <f>B18/MAX(C18, Keys!$C$4)</f>
      </c>
      <c r="E18" t="str">
        <f>MIN(1, MAX(0, D18))</f>
      </c>
      <c r="F18" t="str">
        <f>IFERROR(INDEX('9c_ESoP_overrides'!$B$2:$B$3, MATCH($A18, '9c_ESoP_overrides'!$A$2:$A$3, 0)), E18)</f>
      </c>
    </row>
    <row r="19">
      <c r="A19" t="s">
        <v>495</v>
      </c>
      <c r="B19" t="str">
        <f>IFERROR(INDEX('8_Calc_Exp_ISIC'!$C$85:$C$126, MATCH($A19, '8_Calc_Exp_ISIC'!$A$85:$A$126, 0)), 0)</f>
      </c>
      <c r="C19" t="str">
        <f>IFERROR(INDEX('9_Output_by_ISIC'!$B$2:$B$43, MATCH($A19, '9_Output_by_ISIC'!$A$2:$A$43, 0)), 0)</f>
      </c>
      <c r="D19" t="str">
        <f>B19/MAX(C19, Keys!$C$4)</f>
      </c>
      <c r="E19" t="str">
        <f>MIN(1, MAX(0, D19))</f>
      </c>
      <c r="F19" t="str">
        <f>IFERROR(INDEX('9c_ESoP_overrides'!$B$2:$B$3, MATCH($A19, '9c_ESoP_overrides'!$A$2:$A$3, 0)), E19)</f>
      </c>
    </row>
    <row r="20">
      <c r="A20" t="s">
        <v>385</v>
      </c>
      <c r="B20" t="str">
        <f>IFERROR(INDEX('8_Calc_Exp_ISIC'!$C$85:$C$126, MATCH($A20, '8_Calc_Exp_ISIC'!$A$85:$A$126, 0)), 0)</f>
      </c>
      <c r="C20" t="str">
        <f>IFERROR(INDEX('9_Output_by_ISIC'!$B$2:$B$43, MATCH($A20, '9_Output_by_ISIC'!$A$2:$A$43, 0)), 0)</f>
      </c>
      <c r="D20" t="str">
        <f>B20/MAX(C20, Keys!$C$4)</f>
      </c>
      <c r="E20" t="str">
        <f>MIN(1, MAX(0, D20))</f>
      </c>
      <c r="F20" t="str">
        <f>IFERROR(INDEX('9c_ESoP_overrides'!$B$2:$B$3, MATCH($A20, '9c_ESoP_overrides'!$A$2:$A$3, 0)), E20)</f>
      </c>
    </row>
    <row r="21">
      <c r="A21" t="s">
        <v>390</v>
      </c>
      <c r="B21" t="str">
        <f>IFERROR(INDEX('8_Calc_Exp_ISIC'!$C$85:$C$126, MATCH($A21, '8_Calc_Exp_ISIC'!$A$85:$A$126, 0)), 0)</f>
      </c>
      <c r="C21" t="str">
        <f>IFERROR(INDEX('9_Output_by_ISIC'!$B$2:$B$43, MATCH($A21, '9_Output_by_ISIC'!$A$2:$A$43, 0)), 0)</f>
      </c>
      <c r="D21" t="str">
        <f>B21/MAX(C21, Keys!$C$4)</f>
      </c>
      <c r="E21" t="str">
        <f>MIN(1, MAX(0, D21))</f>
      </c>
      <c r="F21" t="str">
        <f>IFERROR(INDEX('9c_ESoP_overrides'!$B$2:$B$3, MATCH($A21, '9c_ESoP_overrides'!$A$2:$A$3, 0)), E21)</f>
      </c>
    </row>
    <row r="22">
      <c r="A22" t="s">
        <v>393</v>
      </c>
      <c r="B22" t="str">
        <f>IFERROR(INDEX('8_Calc_Exp_ISIC'!$C$85:$C$126, MATCH($A22, '8_Calc_Exp_ISIC'!$A$85:$A$126, 0)), 0)</f>
      </c>
      <c r="C22" t="str">
        <f>IFERROR(INDEX('9_Output_by_ISIC'!$B$2:$B$43, MATCH($A22, '9_Output_by_ISIC'!$A$2:$A$43, 0)), 0)</f>
      </c>
      <c r="D22" t="str">
        <f>B22/MAX(C22, Keys!$C$4)</f>
      </c>
      <c r="E22" t="str">
        <f>MIN(1, MAX(0, D22))</f>
      </c>
      <c r="F22" t="str">
        <f>IFERROR(INDEX('9c_ESoP_overrides'!$B$2:$B$3, MATCH($A22, '9c_ESoP_overrides'!$A$2:$A$3, 0)), E22)</f>
      </c>
    </row>
    <row r="23">
      <c r="A23" t="s">
        <v>387</v>
      </c>
      <c r="B23" t="str">
        <f>IFERROR(INDEX('8_Calc_Exp_ISIC'!$C$85:$C$126, MATCH($A23, '8_Calc_Exp_ISIC'!$A$85:$A$126, 0)), 0)</f>
      </c>
      <c r="C23" t="str">
        <f>IFERROR(INDEX('9_Output_by_ISIC'!$B$2:$B$43, MATCH($A23, '9_Output_by_ISIC'!$A$2:$A$43, 0)), 0)</f>
      </c>
      <c r="D23" t="str">
        <f>B23/MAX(C23, Keys!$C$4)</f>
      </c>
      <c r="E23" t="str">
        <f>MIN(1, MAX(0, D23))</f>
      </c>
      <c r="F23" t="str">
        <f>IFERROR(INDEX('9c_ESoP_overrides'!$B$2:$B$3, MATCH($A23, '9c_ESoP_overrides'!$A$2:$A$3, 0)), E23)</f>
      </c>
    </row>
    <row r="24">
      <c r="A24" t="s">
        <v>396</v>
      </c>
      <c r="B24" t="str">
        <f>IFERROR(INDEX('8_Calc_Exp_ISIC'!$C$85:$C$126, MATCH($A24, '8_Calc_Exp_ISIC'!$A$85:$A$126, 0)), 0)</f>
      </c>
      <c r="C24" t="str">
        <f>IFERROR(INDEX('9_Output_by_ISIC'!$B$2:$B$43, MATCH($A24, '9_Output_by_ISIC'!$A$2:$A$43, 0)), 0)</f>
      </c>
      <c r="D24" t="str">
        <f>B24/MAX(C24, Keys!$C$4)</f>
      </c>
      <c r="E24" t="str">
        <f>MIN(1, MAX(0, D24))</f>
      </c>
      <c r="F24" t="str">
        <f>IFERROR(INDEX('9c_ESoP_overrides'!$B$2:$B$3, MATCH($A24, '9c_ESoP_overrides'!$A$2:$A$3, 0)), E24)</f>
      </c>
    </row>
    <row r="25">
      <c r="A25" t="s">
        <v>399</v>
      </c>
      <c r="B25" t="str">
        <f>IFERROR(INDEX('8_Calc_Exp_ISIC'!$C$85:$C$126, MATCH($A25, '8_Calc_Exp_ISIC'!$A$85:$A$126, 0)), 0)</f>
      </c>
      <c r="C25" t="str">
        <f>IFERROR(INDEX('9_Output_by_ISIC'!$B$2:$B$43, MATCH($A25, '9_Output_by_ISIC'!$A$2:$A$43, 0)), 0)</f>
      </c>
      <c r="D25" t="str">
        <f>B25/MAX(C25, Keys!$C$4)</f>
      </c>
      <c r="E25" t="str">
        <f>MIN(1, MAX(0, D25))</f>
      </c>
      <c r="F25" t="str">
        <f>IFERROR(INDEX('9c_ESoP_overrides'!$B$2:$B$3, MATCH($A25, '9c_ESoP_overrides'!$A$2:$A$3, 0)), E25)</f>
      </c>
    </row>
    <row r="26">
      <c r="A26" t="s">
        <v>402</v>
      </c>
      <c r="B26" t="str">
        <f>IFERROR(INDEX('8_Calc_Exp_ISIC'!$C$85:$C$126, MATCH($A26, '8_Calc_Exp_ISIC'!$A$85:$A$126, 0)), 0)</f>
      </c>
      <c r="C26" t="str">
        <f>IFERROR(INDEX('9_Output_by_ISIC'!$B$2:$B$43, MATCH($A26, '9_Output_by_ISIC'!$A$2:$A$43, 0)), 0)</f>
      </c>
      <c r="D26" t="str">
        <f>B26/MAX(C26, Keys!$C$4)</f>
      </c>
      <c r="E26" t="str">
        <f>MIN(1, MAX(0, D26))</f>
      </c>
      <c r="F26" t="str">
        <f>IFERROR(INDEX('9c_ESoP_overrides'!$B$2:$B$3, MATCH($A26, '9c_ESoP_overrides'!$A$2:$A$3, 0)), E26)</f>
      </c>
    </row>
    <row r="27">
      <c r="A27" t="s">
        <v>350</v>
      </c>
      <c r="B27" t="str">
        <f>IFERROR(INDEX('8_Calc_Exp_ISIC'!$C$85:$C$126, MATCH($A27, '8_Calc_Exp_ISIC'!$A$85:$A$126, 0)), 0)</f>
      </c>
      <c r="C27" t="str">
        <f>IFERROR(INDEX('9_Output_by_ISIC'!$B$2:$B$43, MATCH($A27, '9_Output_by_ISIC'!$A$2:$A$43, 0)), 0)</f>
      </c>
      <c r="D27" t="str">
        <f>B27/MAX(C27, Keys!$C$4)</f>
      </c>
      <c r="E27" t="str">
        <f>MIN(1, MAX(0, D27))</f>
      </c>
      <c r="F27" t="str">
        <f>IFERROR(INDEX('9c_ESoP_overrides'!$B$2:$B$3, MATCH($A27, '9c_ESoP_overrides'!$A$2:$A$3, 0)), E27)</f>
      </c>
    </row>
    <row r="28">
      <c r="A28" t="s">
        <v>353</v>
      </c>
      <c r="B28" t="str">
        <f>IFERROR(INDEX('8_Calc_Exp_ISIC'!$C$85:$C$126, MATCH($A28, '8_Calc_Exp_ISIC'!$A$85:$A$126, 0)), 0)</f>
      </c>
      <c r="C28" t="str">
        <f>IFERROR(INDEX('9_Output_by_ISIC'!$B$2:$B$43, MATCH($A28, '9_Output_by_ISIC'!$A$2:$A$43, 0)), 0)</f>
      </c>
      <c r="D28" t="str">
        <f>B28/MAX(C28, Keys!$C$4)</f>
      </c>
      <c r="E28" t="str">
        <f>MIN(1, MAX(0, D28))</f>
      </c>
      <c r="F28" t="str">
        <f>IFERROR(INDEX('9c_ESoP_overrides'!$B$2:$B$3, MATCH($A28, '9c_ESoP_overrides'!$A$2:$A$3, 0)), E28)</f>
      </c>
    </row>
    <row r="29">
      <c r="A29" t="s">
        <v>356</v>
      </c>
      <c r="B29" t="str">
        <f>IFERROR(INDEX('8_Calc_Exp_ISIC'!$C$85:$C$126, MATCH($A29, '8_Calc_Exp_ISIC'!$A$85:$A$126, 0)), 0)</f>
      </c>
      <c r="C29" t="str">
        <f>IFERROR(INDEX('9_Output_by_ISIC'!$B$2:$B$43, MATCH($A29, '9_Output_by_ISIC'!$A$2:$A$43, 0)), 0)</f>
      </c>
      <c r="D29" t="str">
        <f>B29/MAX(C29, Keys!$C$4)</f>
      </c>
      <c r="E29" t="str">
        <f>MIN(1, MAX(0, D29))</f>
      </c>
      <c r="F29" t="str">
        <f>IFERROR(INDEX('9c_ESoP_overrides'!$B$2:$B$3, MATCH($A29, '9c_ESoP_overrides'!$A$2:$A$3, 0)), E29)</f>
      </c>
    </row>
    <row r="30">
      <c r="A30" t="s">
        <v>360</v>
      </c>
      <c r="B30" t="str">
        <f>IFERROR(INDEX('8_Calc_Exp_ISIC'!$C$85:$C$126, MATCH($A30, '8_Calc_Exp_ISIC'!$A$85:$A$126, 0)), 0)</f>
      </c>
      <c r="C30" t="str">
        <f>IFERROR(INDEX('9_Output_by_ISIC'!$B$2:$B$43, MATCH($A30, '9_Output_by_ISIC'!$A$2:$A$43, 0)), 0)</f>
      </c>
      <c r="D30" t="str">
        <f>B30/MAX(C30, Keys!$C$4)</f>
      </c>
      <c r="E30" t="str">
        <f>MIN(1, MAX(0, D30))</f>
      </c>
      <c r="F30" t="str">
        <f>IFERROR(INDEX('9c_ESoP_overrides'!$B$2:$B$3, MATCH($A30, '9c_ESoP_overrides'!$A$2:$A$3, 0)), E30)</f>
      </c>
    </row>
    <row r="31">
      <c r="A31" t="s">
        <v>406</v>
      </c>
      <c r="B31" t="str">
        <f>IFERROR(INDEX('8_Calc_Exp_ISIC'!$C$85:$C$126, MATCH($A31, '8_Calc_Exp_ISIC'!$A$85:$A$126, 0)), 0)</f>
      </c>
      <c r="C31" t="str">
        <f>IFERROR(INDEX('9_Output_by_ISIC'!$B$2:$B$43, MATCH($A31, '9_Output_by_ISIC'!$A$2:$A$43, 0)), 0)</f>
      </c>
      <c r="D31" t="str">
        <f>B31/MAX(C31, Keys!$C$4)</f>
      </c>
      <c r="E31" t="str">
        <f>MIN(1, MAX(0, D31))</f>
      </c>
      <c r="F31" t="str">
        <f>IFERROR(INDEX('9c_ESoP_overrides'!$B$2:$B$3, MATCH($A31, '9c_ESoP_overrides'!$A$2:$A$3, 0)), E31)</f>
      </c>
    </row>
    <row r="32">
      <c r="A32" t="s">
        <v>413</v>
      </c>
      <c r="B32" t="str">
        <f>IFERROR(INDEX('8_Calc_Exp_ISIC'!$C$85:$C$126, MATCH($A32, '8_Calc_Exp_ISIC'!$A$85:$A$126, 0)), 0)</f>
      </c>
      <c r="C32" t="str">
        <f>IFERROR(INDEX('9_Output_by_ISIC'!$B$2:$B$43, MATCH($A32, '9_Output_by_ISIC'!$A$2:$A$43, 0)), 0)</f>
      </c>
      <c r="D32" t="str">
        <f>B32/MAX(C32, Keys!$C$4)</f>
      </c>
      <c r="E32" t="str">
        <f>MIN(1, MAX(0, D32))</f>
      </c>
      <c r="F32" t="str">
        <f>IFERROR(INDEX('9c_ESoP_overrides'!$B$2:$B$3, MATCH($A32, '9c_ESoP_overrides'!$A$2:$A$3, 0)), E32)</f>
      </c>
    </row>
    <row r="33">
      <c r="A33" t="s">
        <v>470</v>
      </c>
      <c r="B33" t="str">
        <f>IFERROR(INDEX('8_Calc_Exp_ISIC'!$C$85:$C$126, MATCH($A33, '8_Calc_Exp_ISIC'!$A$85:$A$126, 0)), 0)</f>
      </c>
      <c r="C33" t="str">
        <f>IFERROR(INDEX('9_Output_by_ISIC'!$B$2:$B$43, MATCH($A33, '9_Output_by_ISIC'!$A$2:$A$43, 0)), 0)</f>
      </c>
      <c r="D33" t="str">
        <f>B33/MAX(C33, Keys!$C$4)</f>
      </c>
      <c r="E33" t="str">
        <f>MIN(1, MAX(0, D33))</f>
      </c>
      <c r="F33" t="str">
        <f>IFERROR(INDEX('9c_ESoP_overrides'!$B$2:$B$3, MATCH($A33, '9c_ESoP_overrides'!$A$2:$A$3, 0)), E33)</f>
      </c>
    </row>
    <row r="34">
      <c r="A34" t="s">
        <v>425</v>
      </c>
      <c r="B34" t="str">
        <f>IFERROR(INDEX('8_Calc_Exp_ISIC'!$C$85:$C$126, MATCH($A34, '8_Calc_Exp_ISIC'!$A$85:$A$126, 0)), 0)</f>
      </c>
      <c r="C34" t="str">
        <f>IFERROR(INDEX('9_Output_by_ISIC'!$B$2:$B$43, MATCH($A34, '9_Output_by_ISIC'!$A$2:$A$43, 0)), 0)</f>
      </c>
      <c r="D34" t="str">
        <f>B34/MAX(C34, Keys!$C$4)</f>
      </c>
      <c r="E34" t="str">
        <f>MIN(1, MAX(0, D34))</f>
      </c>
      <c r="F34" t="str">
        <f>IFERROR(INDEX('9c_ESoP_overrides'!$B$2:$B$3, MATCH($A34, '9c_ESoP_overrides'!$A$2:$A$3, 0)), E34)</f>
      </c>
    </row>
    <row r="35">
      <c r="A35" t="s">
        <v>177</v>
      </c>
      <c r="B35" t="str">
        <f>IFERROR(INDEX('8_Calc_Exp_ISIC'!$C$85:$C$126, MATCH($A35, '8_Calc_Exp_ISIC'!$A$85:$A$126, 0)), 0)</f>
      </c>
      <c r="C35" t="str">
        <f>IFERROR(INDEX('9_Output_by_ISIC'!$B$2:$B$43, MATCH($A35, '9_Output_by_ISIC'!$A$2:$A$43, 0)), 0)</f>
      </c>
      <c r="D35" t="str">
        <f>B35/MAX(C35, Keys!$C$4)</f>
      </c>
      <c r="E35" t="str">
        <f>MIN(1, MAX(0, D35))</f>
      </c>
      <c r="F35" t="str">
        <f>IFERROR(INDEX('9c_ESoP_overrides'!$B$2:$B$3, MATCH($A35, '9c_ESoP_overrides'!$A$2:$A$3, 0)), E35)</f>
      </c>
    </row>
    <row r="36">
      <c r="A36" t="s">
        <v>432</v>
      </c>
      <c r="B36" t="str">
        <f>IFERROR(INDEX('8_Calc_Exp_ISIC'!$C$85:$C$126, MATCH($A36, '8_Calc_Exp_ISIC'!$A$85:$A$126, 0)), 0)</f>
      </c>
      <c r="C36" t="str">
        <f>IFERROR(INDEX('9_Output_by_ISIC'!$B$2:$B$43, MATCH($A36, '9_Output_by_ISIC'!$A$2:$A$43, 0)), 0)</f>
      </c>
      <c r="D36" t="str">
        <f>B36/MAX(C36, Keys!$C$4)</f>
      </c>
      <c r="E36" t="str">
        <f>MIN(1, MAX(0, D36))</f>
      </c>
      <c r="F36" t="str">
        <f>IFERROR(INDEX('9c_ESoP_overrides'!$B$2:$B$3, MATCH($A36, '9c_ESoP_overrides'!$A$2:$A$3, 0)), E36)</f>
      </c>
    </row>
    <row r="37">
      <c r="A37" t="s">
        <v>435</v>
      </c>
      <c r="B37" t="str">
        <f>IFERROR(INDEX('8_Calc_Exp_ISIC'!$C$85:$C$126, MATCH($A37, '8_Calc_Exp_ISIC'!$A$85:$A$126, 0)), 0)</f>
      </c>
      <c r="C37" t="str">
        <f>IFERROR(INDEX('9_Output_by_ISIC'!$B$2:$B$43, MATCH($A37, '9_Output_by_ISIC'!$A$2:$A$43, 0)), 0)</f>
      </c>
      <c r="D37" t="str">
        <f>B37/MAX(C37, Keys!$C$4)</f>
      </c>
      <c r="E37" t="str">
        <f>MIN(1, MAX(0, D37))</f>
      </c>
      <c r="F37" t="str">
        <f>IFERROR(INDEX('9c_ESoP_overrides'!$B$2:$B$3, MATCH($A37, '9c_ESoP_overrides'!$A$2:$A$3, 0)), E37)</f>
      </c>
    </row>
    <row r="38">
      <c r="A38" t="s">
        <v>441</v>
      </c>
      <c r="B38" t="str">
        <f>IFERROR(INDEX('8_Calc_Exp_ISIC'!$C$85:$C$126, MATCH($A38, '8_Calc_Exp_ISIC'!$A$85:$A$126, 0)), 0)</f>
      </c>
      <c r="C38" t="str">
        <f>IFERROR(INDEX('9_Output_by_ISIC'!$B$2:$B$43, MATCH($A38, '9_Output_by_ISIC'!$A$2:$A$43, 0)), 0)</f>
      </c>
      <c r="D38" t="str">
        <f>B38/MAX(C38, Keys!$C$4)</f>
      </c>
      <c r="E38" t="str">
        <f>MIN(1, MAX(0, D38))</f>
      </c>
      <c r="F38" t="str">
        <f>IFERROR(INDEX('9c_ESoP_overrides'!$B$2:$B$3, MATCH($A38, '9c_ESoP_overrides'!$A$2:$A$3, 0)), E38)</f>
      </c>
    </row>
    <row r="39">
      <c r="A39" t="s">
        <v>445</v>
      </c>
      <c r="B39" t="str">
        <f>IFERROR(INDEX('8_Calc_Exp_ISIC'!$C$85:$C$126, MATCH($A39, '8_Calc_Exp_ISIC'!$A$85:$A$126, 0)), 0)</f>
      </c>
      <c r="C39" t="str">
        <f>IFERROR(INDEX('9_Output_by_ISIC'!$B$2:$B$43, MATCH($A39, '9_Output_by_ISIC'!$A$2:$A$43, 0)), 0)</f>
      </c>
      <c r="D39" t="str">
        <f>B39/MAX(C39, Keys!$C$4)</f>
      </c>
      <c r="E39" t="str">
        <f>MIN(1, MAX(0, D39))</f>
      </c>
      <c r="F39" t="str">
        <f>IFERROR(INDEX('9c_ESoP_overrides'!$B$2:$B$3, MATCH($A39, '9c_ESoP_overrides'!$A$2:$A$3, 0)), E39)</f>
      </c>
    </row>
    <row r="40">
      <c r="A40" t="s">
        <v>475</v>
      </c>
      <c r="B40" t="str">
        <f>IFERROR(INDEX('8_Calc_Exp_ISIC'!$C$85:$C$126, MATCH($A40, '8_Calc_Exp_ISIC'!$A$85:$A$126, 0)), 0)</f>
      </c>
      <c r="C40" t="str">
        <f>IFERROR(INDEX('9_Output_by_ISIC'!$B$2:$B$43, MATCH($A40, '9_Output_by_ISIC'!$A$2:$A$43, 0)), 0)</f>
      </c>
      <c r="D40" t="str">
        <f>B40/MAX(C40, Keys!$C$4)</f>
      </c>
      <c r="E40" t="str">
        <f>MIN(1, MAX(0, D40))</f>
      </c>
      <c r="F40" t="str">
        <f>IFERROR(INDEX('9c_ESoP_overrides'!$B$2:$B$3, MATCH($A40, '9c_ESoP_overrides'!$A$2:$A$3, 0)), E40)</f>
      </c>
    </row>
    <row r="41">
      <c r="A41" t="s">
        <v>457</v>
      </c>
      <c r="B41" t="str">
        <f>IFERROR(INDEX('8_Calc_Exp_ISIC'!$C$85:$C$126, MATCH($A41, '8_Calc_Exp_ISIC'!$A$85:$A$126, 0)), 0)</f>
      </c>
      <c r="C41" t="str">
        <f>IFERROR(INDEX('9_Output_by_ISIC'!$B$2:$B$43, MATCH($A41, '9_Output_by_ISIC'!$A$2:$A$43, 0)), 0)</f>
      </c>
      <c r="D41" t="str">
        <f>B41/MAX(C41, Keys!$C$4)</f>
      </c>
      <c r="E41" t="str">
        <f>MIN(1, MAX(0, D41))</f>
      </c>
      <c r="F41" t="str">
        <f>IFERROR(INDEX('9c_ESoP_overrides'!$B$2:$B$3, MATCH($A41, '9c_ESoP_overrides'!$A$2:$A$3, 0)), E41)</f>
      </c>
    </row>
    <row r="42">
      <c r="A42" t="s">
        <v>460</v>
      </c>
      <c r="B42" t="str">
        <f>IFERROR(INDEX('8_Calc_Exp_ISIC'!$C$85:$C$126, MATCH($A42, '8_Calc_Exp_ISIC'!$A$85:$A$126, 0)), 0)</f>
      </c>
      <c r="C42" t="str">
        <f>IFERROR(INDEX('9_Output_by_ISIC'!$B$2:$B$43, MATCH($A42, '9_Output_by_ISIC'!$A$2:$A$43, 0)), 0)</f>
      </c>
      <c r="D42" t="str">
        <f>B42/MAX(C42, Keys!$C$4)</f>
      </c>
      <c r="E42" t="str">
        <f>MIN(1, MAX(0, D42))</f>
      </c>
      <c r="F42" t="str">
        <f>IFERROR(INDEX('9c_ESoP_overrides'!$B$2:$B$3, MATCH($A42, '9c_ESoP_overrides'!$A$2:$A$3, 0)), E42)</f>
      </c>
    </row>
    <row r="43">
      <c r="A43" t="s">
        <v>466</v>
      </c>
      <c r="B43" t="str">
        <f>IFERROR(INDEX('8_Calc_Exp_ISIC'!$C$85:$C$126, MATCH($A43, '8_Calc_Exp_ISIC'!$A$85:$A$126, 0)), 0)</f>
      </c>
      <c r="C43" t="str">
        <f>IFERROR(INDEX('9_Output_by_ISIC'!$B$2:$B$43, MATCH($A43, '9_Output_by_ISIC'!$A$2:$A$43, 0)), 0)</f>
      </c>
      <c r="D43" t="str">
        <f>B43/MAX(C43, Keys!$C$4)</f>
      </c>
      <c r="E43" t="str">
        <f>MIN(1, MAX(0, D43))</f>
      </c>
      <c r="F43" t="str">
        <f>IFERROR(INDEX('9c_ESoP_overrides'!$B$2:$B$3, MATCH($A43, '9c_ESoP_overrides'!$A$2:$A$3, 0)), E43)</f>
      </c>
    </row>
    <row r="44">
      <c r="A44" t="s">
        <v>583</v>
      </c>
      <c r="B44" t="str">
        <f>IFERROR(INDEX('8_Calc_Exp_ISIC'!$C$85:$C$126, MATCH($A44, '8_Calc_Exp_ISIC'!$A$85:$A$126, 0)), 0)</f>
      </c>
      <c r="C44" t="str">
        <f>IFERROR(INDEX('9_Output_by_ISIC'!$B$2:$B$43, MATCH($A44, '9_Output_by_ISIC'!$A$2:$A$43, 0)), 0)</f>
      </c>
      <c r="D44" t="str">
        <f>B44/MAX(C44, Keys!$C$4)</f>
      </c>
      <c r="E44" t="str">
        <f>MIN(1, MAX(0, D44))</f>
      </c>
      <c r="F44" t="str">
        <f>IFERROR(INDEX('9c_ESoP_overrides'!$B$2:$B$3, MATCH($A44, '9c_ESoP_overrides'!$A$2:$A$3,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611</v>
      </c>
      <c r="B2" t="str">
        <f>INDEX('10_Calc_DCS_ratio'!$F$3:$F$44, MATCH(B$1, '10_Calc_DCS_ratio'!$A$3:$A$44, 0))</f>
      </c>
      <c r="C2" t="str">
        <f>INDEX('10_Calc_DCS_ratio'!$F$3:$F$44, MATCH(C$1, '10_Calc_DCS_ratio'!$A$3:$A$44, 0))</f>
      </c>
      <c r="D2" t="str">
        <f>INDEX('10_Calc_DCS_ratio'!$F$3:$F$44, MATCH(D$1, '10_Calc_DCS_ratio'!$A$3:$A$44, 0))</f>
      </c>
      <c r="E2" t="str">
        <f>INDEX('10_Calc_DCS_ratio'!$F$3:$F$44, MATCH(E$1, '10_Calc_DCS_ratio'!$A$3:$A$44, 0))</f>
      </c>
      <c r="F2" t="str">
        <f>INDEX('10_Calc_DCS_ratio'!$F$3:$F$44, MATCH(F$1, '10_Calc_DCS_ratio'!$A$3:$A$44, 0))</f>
      </c>
      <c r="G2" t="str">
        <f>INDEX('10_Calc_DCS_ratio'!$F$3:$F$44, MATCH(G$1, '10_Calc_DCS_ratio'!$A$3:$A$44, 0))</f>
      </c>
      <c r="H2" t="str">
        <f>INDEX('10_Calc_DCS_ratio'!$F$3:$F$44, MATCH(H$1, '10_Calc_DCS_ratio'!$A$3:$A$44, 0))</f>
      </c>
      <c r="I2" t="str">
        <f>INDEX('10_Calc_DCS_ratio'!$F$3:$F$44, MATCH(I$1, '10_Calc_DCS_ratio'!$A$3:$A$44, 0))</f>
      </c>
      <c r="J2" t="str">
        <f>INDEX('10_Calc_DCS_ratio'!$F$3:$F$44, MATCH(J$1, '10_Calc_DCS_ratio'!$A$3:$A$44, 0))</f>
      </c>
      <c r="K2" t="str">
        <f>INDEX('10_Calc_DCS_ratio'!$F$3:$F$44, MATCH(K$1, '10_Calc_DCS_ratio'!$A$3:$A$44, 0))</f>
      </c>
      <c r="L2" t="str">
        <f>INDEX('10_Calc_DCS_ratio'!$F$3:$F$44, MATCH(L$1, '10_Calc_DCS_ratio'!$A$3:$A$44, 0))</f>
      </c>
      <c r="M2" t="str">
        <f>INDEX('10_Calc_DCS_ratio'!$F$3:$F$44, MATCH(M$1, '10_Calc_DCS_ratio'!$A$3:$A$44, 0))</f>
      </c>
      <c r="N2" t="str">
        <f>INDEX('10_Calc_DCS_ratio'!$F$3:$F$44, MATCH(N$1, '10_Calc_DCS_ratio'!$A$3:$A$44, 0))</f>
      </c>
      <c r="O2" t="str">
        <f>INDEX('10_Calc_DCS_ratio'!$F$3:$F$44, MATCH(O$1, '10_Calc_DCS_ratio'!$A$3:$A$44, 0))</f>
      </c>
      <c r="P2" t="str">
        <f>INDEX('10_Calc_DCS_ratio'!$F$3:$F$44, MATCH(P$1, '10_Calc_DCS_ratio'!$A$3:$A$44, 0))</f>
      </c>
      <c r="Q2" t="str">
        <f>INDEX('10_Calc_DCS_ratio'!$F$3:$F$44, MATCH(Q$1, '10_Calc_DCS_ratio'!$A$3:$A$44, 0))</f>
      </c>
      <c r="R2" t="str">
        <f>INDEX('10_Calc_DCS_ratio'!$F$3:$F$44, MATCH(R$1, '10_Calc_DCS_ratio'!$A$3:$A$44, 0))</f>
      </c>
      <c r="S2" t="str">
        <f>INDEX('10_Calc_DCS_ratio'!$F$3:$F$44, MATCH(S$1, '10_Calc_DCS_ratio'!$A$3:$A$44, 0))</f>
      </c>
      <c r="T2" t="str">
        <f>INDEX('10_Calc_DCS_ratio'!$F$3:$F$44, MATCH(T$1, '10_Calc_DCS_ratio'!$A$3:$A$44, 0))</f>
      </c>
      <c r="U2" t="str">
        <f>INDEX('10_Calc_DCS_ratio'!$F$3:$F$44, MATCH(U$1, '10_Calc_DCS_ratio'!$A$3:$A$44, 0))</f>
      </c>
      <c r="V2" t="str">
        <f>INDEX('10_Calc_DCS_ratio'!$F$3:$F$44, MATCH(V$1, '10_Calc_DCS_ratio'!$A$3:$A$44, 0))</f>
      </c>
      <c r="W2" t="str">
        <f>INDEX('10_Calc_DCS_ratio'!$F$3:$F$44, MATCH(W$1, '10_Calc_DCS_ratio'!$A$3:$A$44, 0))</f>
      </c>
      <c r="X2" t="str">
        <f>INDEX('10_Calc_DCS_ratio'!$F$3:$F$44, MATCH(X$1, '10_Calc_DCS_ratio'!$A$3:$A$44, 0))</f>
      </c>
      <c r="Y2" t="str">
        <f>INDEX('10_Calc_DCS_ratio'!$F$3:$F$44, MATCH(Y$1, '10_Calc_DCS_ratio'!$A$3:$A$44, 0))</f>
      </c>
      <c r="Z2" t="str">
        <f>INDEX('10_Calc_DCS_ratio'!$F$3:$F$44, MATCH(Z$1, '10_Calc_DCS_ratio'!$A$3:$A$44, 0))</f>
      </c>
      <c r="AA2" t="str">
        <f>INDEX('10_Calc_DCS_ratio'!$F$3:$F$44, MATCH(AA$1, '10_Calc_DCS_ratio'!$A$3:$A$44, 0))</f>
      </c>
      <c r="AB2" t="str">
        <f>INDEX('10_Calc_DCS_ratio'!$F$3:$F$44, MATCH(AB$1, '10_Calc_DCS_ratio'!$A$3:$A$44, 0))</f>
      </c>
      <c r="AC2" t="str">
        <f>INDEX('10_Calc_DCS_ratio'!$F$3:$F$44, MATCH(AC$1, '10_Calc_DCS_ratio'!$A$3:$A$44, 0))</f>
      </c>
      <c r="AD2" t="str">
        <f>INDEX('10_Calc_DCS_ratio'!$F$3:$F$44, MATCH(AD$1, '10_Calc_DCS_ratio'!$A$3:$A$44, 0))</f>
      </c>
      <c r="AE2" t="str">
        <f>INDEX('10_Calc_DCS_ratio'!$F$3:$F$44, MATCH(AE$1, '10_Calc_DCS_ratio'!$A$3:$A$44, 0))</f>
      </c>
      <c r="AF2" t="str">
        <f>INDEX('10_Calc_DCS_ratio'!$F$3:$F$44, MATCH(AF$1, '10_Calc_DCS_ratio'!$A$3:$A$44, 0))</f>
      </c>
      <c r="AG2" t="str">
        <f>INDEX('10_Calc_DCS_ratio'!$F$3:$F$44, MATCH(AG$1, '10_Calc_DCS_ratio'!$A$3:$A$44, 0))</f>
      </c>
      <c r="AH2" t="str">
        <f>INDEX('10_Calc_DCS_ratio'!$F$3:$F$44, MATCH(AH$1, '10_Calc_DCS_ratio'!$A$3:$A$44, 0))</f>
      </c>
      <c r="AI2" t="str">
        <f>INDEX('10_Calc_DCS_ratio'!$F$3:$F$44, MATCH(AI$1, '10_Calc_DCS_ratio'!$A$3:$A$44, 0))</f>
      </c>
      <c r="AJ2" t="str">
        <f>INDEX('10_Calc_DCS_ratio'!$F$3:$F$44, MATCH(AJ$1, '10_Calc_DCS_ratio'!$A$3:$A$44, 0))</f>
      </c>
      <c r="AK2" t="str">
        <f>INDEX('10_Calc_DCS_ratio'!$F$3:$F$44, MATCH(AK$1, '10_Calc_DCS_ratio'!$A$3:$A$44, 0))</f>
      </c>
      <c r="AL2" t="str">
        <f>INDEX('10_Calc_DCS_ratio'!$F$3:$F$44, MATCH(AL$1, '10_Calc_DCS_ratio'!$A$3:$A$44, 0))</f>
      </c>
      <c r="AM2" t="str">
        <f>INDEX('10_Calc_DCS_ratio'!$F$3:$F$44, MATCH(AM$1, '10_Calc_DCS_ratio'!$A$3:$A$44, 0))</f>
      </c>
      <c r="AN2" t="str">
        <f>INDEX('10_Calc_DCS_ratio'!$F$3:$F$44, MATCH(AN$1, '10_Calc_DCS_ratio'!$A$3:$A$44, 0))</f>
      </c>
      <c r="AO2" t="str">
        <f>INDEX('10_Calc_DCS_ratio'!$F$3:$F$44, MATCH(AO$1, '10_Calc_DCS_ratio'!$A$3:$A$44, 0))</f>
      </c>
      <c r="AP2" t="str">
        <f>INDEX('10_Calc_DCS_ratio'!$F$3:$F$44, MATCH(AP$1, '10_Calc_DCS_ratio'!$A$3:$A$44, 0))</f>
      </c>
      <c r="AQ2" t="str">
        <f>INDEX('10_Calc_DCS_ratio'!$F$3:$F$44, MATCH(AQ$1, '10_Calc_DCS_ratio'!$A$3:$A$44,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612</v>
      </c>
      <c r="B2" t="str">
        <f>INDEX('11_Calc_ESoP_ratio'!$F$3:$F$44, MATCH(B$1, '11_Calc_ESoP_ratio'!$A$3:$A$44, 0))</f>
      </c>
      <c r="C2" t="str">
        <f>INDEX('11_Calc_ESoP_ratio'!$F$3:$F$44, MATCH(C$1, '11_Calc_ESoP_ratio'!$A$3:$A$44, 0))</f>
      </c>
      <c r="D2" t="str">
        <f>INDEX('11_Calc_ESoP_ratio'!$F$3:$F$44, MATCH(D$1, '11_Calc_ESoP_ratio'!$A$3:$A$44, 0))</f>
      </c>
      <c r="E2" t="str">
        <f>INDEX('11_Calc_ESoP_ratio'!$F$3:$F$44, MATCH(E$1, '11_Calc_ESoP_ratio'!$A$3:$A$44, 0))</f>
      </c>
      <c r="F2" t="str">
        <f>INDEX('11_Calc_ESoP_ratio'!$F$3:$F$44, MATCH(F$1, '11_Calc_ESoP_ratio'!$A$3:$A$44, 0))</f>
      </c>
      <c r="G2" t="str">
        <f>INDEX('11_Calc_ESoP_ratio'!$F$3:$F$44, MATCH(G$1, '11_Calc_ESoP_ratio'!$A$3:$A$44, 0))</f>
      </c>
      <c r="H2" t="str">
        <f>INDEX('11_Calc_ESoP_ratio'!$F$3:$F$44, MATCH(H$1, '11_Calc_ESoP_ratio'!$A$3:$A$44, 0))</f>
      </c>
      <c r="I2" t="str">
        <f>INDEX('11_Calc_ESoP_ratio'!$F$3:$F$44, MATCH(I$1, '11_Calc_ESoP_ratio'!$A$3:$A$44, 0))</f>
      </c>
      <c r="J2" t="str">
        <f>INDEX('11_Calc_ESoP_ratio'!$F$3:$F$44, MATCH(J$1, '11_Calc_ESoP_ratio'!$A$3:$A$44, 0))</f>
      </c>
      <c r="K2" t="str">
        <f>INDEX('11_Calc_ESoP_ratio'!$F$3:$F$44, MATCH(K$1, '11_Calc_ESoP_ratio'!$A$3:$A$44, 0))</f>
      </c>
      <c r="L2" t="str">
        <f>INDEX('11_Calc_ESoP_ratio'!$F$3:$F$44, MATCH(L$1, '11_Calc_ESoP_ratio'!$A$3:$A$44, 0))</f>
      </c>
      <c r="M2" t="str">
        <f>INDEX('11_Calc_ESoP_ratio'!$F$3:$F$44, MATCH(M$1, '11_Calc_ESoP_ratio'!$A$3:$A$44, 0))</f>
      </c>
      <c r="N2" t="str">
        <f>INDEX('11_Calc_ESoP_ratio'!$F$3:$F$44, MATCH(N$1, '11_Calc_ESoP_ratio'!$A$3:$A$44, 0))</f>
      </c>
      <c r="O2" t="str">
        <f>INDEX('11_Calc_ESoP_ratio'!$F$3:$F$44, MATCH(O$1, '11_Calc_ESoP_ratio'!$A$3:$A$44, 0))</f>
      </c>
      <c r="P2" t="str">
        <f>INDEX('11_Calc_ESoP_ratio'!$F$3:$F$44, MATCH(P$1, '11_Calc_ESoP_ratio'!$A$3:$A$44, 0))</f>
      </c>
      <c r="Q2" t="str">
        <f>INDEX('11_Calc_ESoP_ratio'!$F$3:$F$44, MATCH(Q$1, '11_Calc_ESoP_ratio'!$A$3:$A$44, 0))</f>
      </c>
      <c r="R2" t="str">
        <f>INDEX('11_Calc_ESoP_ratio'!$F$3:$F$44, MATCH(R$1, '11_Calc_ESoP_ratio'!$A$3:$A$44, 0))</f>
      </c>
      <c r="S2" t="str">
        <f>INDEX('11_Calc_ESoP_ratio'!$F$3:$F$44, MATCH(S$1, '11_Calc_ESoP_ratio'!$A$3:$A$44, 0))</f>
      </c>
      <c r="T2" t="str">
        <f>INDEX('11_Calc_ESoP_ratio'!$F$3:$F$44, MATCH(T$1, '11_Calc_ESoP_ratio'!$A$3:$A$44, 0))</f>
      </c>
      <c r="U2" t="str">
        <f>INDEX('11_Calc_ESoP_ratio'!$F$3:$F$44, MATCH(U$1, '11_Calc_ESoP_ratio'!$A$3:$A$44, 0))</f>
      </c>
      <c r="V2" t="str">
        <f>INDEX('11_Calc_ESoP_ratio'!$F$3:$F$44, MATCH(V$1, '11_Calc_ESoP_ratio'!$A$3:$A$44, 0))</f>
      </c>
      <c r="W2" t="str">
        <f>INDEX('11_Calc_ESoP_ratio'!$F$3:$F$44, MATCH(W$1, '11_Calc_ESoP_ratio'!$A$3:$A$44, 0))</f>
      </c>
      <c r="X2" t="str">
        <f>INDEX('11_Calc_ESoP_ratio'!$F$3:$F$44, MATCH(X$1, '11_Calc_ESoP_ratio'!$A$3:$A$44, 0))</f>
      </c>
      <c r="Y2" t="str">
        <f>INDEX('11_Calc_ESoP_ratio'!$F$3:$F$44, MATCH(Y$1, '11_Calc_ESoP_ratio'!$A$3:$A$44, 0))</f>
      </c>
      <c r="Z2" t="str">
        <f>INDEX('11_Calc_ESoP_ratio'!$F$3:$F$44, MATCH(Z$1, '11_Calc_ESoP_ratio'!$A$3:$A$44, 0))</f>
      </c>
      <c r="AA2" t="str">
        <f>INDEX('11_Calc_ESoP_ratio'!$F$3:$F$44, MATCH(AA$1, '11_Calc_ESoP_ratio'!$A$3:$A$44, 0))</f>
      </c>
      <c r="AB2" t="str">
        <f>INDEX('11_Calc_ESoP_ratio'!$F$3:$F$44, MATCH(AB$1, '11_Calc_ESoP_ratio'!$A$3:$A$44, 0))</f>
      </c>
      <c r="AC2" t="str">
        <f>INDEX('11_Calc_ESoP_ratio'!$F$3:$F$44, MATCH(AC$1, '11_Calc_ESoP_ratio'!$A$3:$A$44, 0))</f>
      </c>
      <c r="AD2" t="str">
        <f>INDEX('11_Calc_ESoP_ratio'!$F$3:$F$44, MATCH(AD$1, '11_Calc_ESoP_ratio'!$A$3:$A$44, 0))</f>
      </c>
      <c r="AE2" t="str">
        <f>INDEX('11_Calc_ESoP_ratio'!$F$3:$F$44, MATCH(AE$1, '11_Calc_ESoP_ratio'!$A$3:$A$44, 0))</f>
      </c>
      <c r="AF2" t="str">
        <f>INDEX('11_Calc_ESoP_ratio'!$F$3:$F$44, MATCH(AF$1, '11_Calc_ESoP_ratio'!$A$3:$A$44, 0))</f>
      </c>
      <c r="AG2" t="str">
        <f>INDEX('11_Calc_ESoP_ratio'!$F$3:$F$44, MATCH(AG$1, '11_Calc_ESoP_ratio'!$A$3:$A$44, 0))</f>
      </c>
      <c r="AH2" t="str">
        <f>INDEX('11_Calc_ESoP_ratio'!$F$3:$F$44, MATCH(AH$1, '11_Calc_ESoP_ratio'!$A$3:$A$44, 0))</f>
      </c>
      <c r="AI2" t="str">
        <f>INDEX('11_Calc_ESoP_ratio'!$F$3:$F$44, MATCH(AI$1, '11_Calc_ESoP_ratio'!$A$3:$A$44, 0))</f>
      </c>
      <c r="AJ2" t="str">
        <f>INDEX('11_Calc_ESoP_ratio'!$F$3:$F$44, MATCH(AJ$1, '11_Calc_ESoP_ratio'!$A$3:$A$44, 0))</f>
      </c>
      <c r="AK2" t="str">
        <f>INDEX('11_Calc_ESoP_ratio'!$F$3:$F$44, MATCH(AK$1, '11_Calc_ESoP_ratio'!$A$3:$A$44, 0))</f>
      </c>
      <c r="AL2" t="str">
        <f>INDEX('11_Calc_ESoP_ratio'!$F$3:$F$44, MATCH(AL$1, '11_Calc_ESoP_ratio'!$A$3:$A$44, 0))</f>
      </c>
      <c r="AM2" t="str">
        <f>INDEX('11_Calc_ESoP_ratio'!$F$3:$F$44, MATCH(AM$1, '11_Calc_ESoP_ratio'!$A$3:$A$44, 0))</f>
      </c>
      <c r="AN2" t="str">
        <f>INDEX('11_Calc_ESoP_ratio'!$F$3:$F$44, MATCH(AN$1, '11_Calc_ESoP_ratio'!$A$3:$A$44, 0))</f>
      </c>
      <c r="AO2" t="str">
        <f>INDEX('11_Calc_ESoP_ratio'!$F$3:$F$44, MATCH(AO$1, '11_Calc_ESoP_ratio'!$A$3:$A$44, 0))</f>
      </c>
      <c r="AP2" t="str">
        <f>INDEX('11_Calc_ESoP_ratio'!$F$3:$F$44, MATCH(AP$1, '11_Calc_ESoP_ratio'!$A$3:$A$44, 0))</f>
      </c>
      <c r="AQ2" t="str">
        <f>INDEX('11_Calc_ESoP_ratio'!$F$3:$F$44, MATCH(AQ$1, '11_Calc_ESoP_ratio'!$A$3:$A$44,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2026-07-17T19:23:08Z</dcterms:created>
</coreProperties>
</file>