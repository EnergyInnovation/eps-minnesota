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bldgs\BDCL\"/>
    </mc:Choice>
  </mc:AlternateContent>
  <xr:revisionPtr revIDLastSave="0" documentId="8_{EB484357-F5DA-4E66-8477-037A519DD000}"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c r="AA167" i="10" s="1"/>
  <c r="AB167" i="10" s="1"/>
  <c r="B167" i="10"/>
  <c r="AC166" i="10"/>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66" i="10"/>
  <c r="D166" i="10" s="1"/>
  <c r="B166" i="10"/>
  <c r="AC165" i="10"/>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AC160" i="10"/>
  <c r="B160" i="10"/>
  <c r="AC159" i="10"/>
  <c r="B159" i="10"/>
  <c r="F158" i="10"/>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E158" i="10"/>
  <c r="D158" i="10"/>
  <c r="C158" i="10"/>
  <c r="AC157" i="10"/>
  <c r="I157" i="10"/>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D157" i="10" s="1"/>
  <c r="E157" i="10" s="1"/>
  <c r="F157" i="10" s="1"/>
  <c r="G157" i="10" s="1"/>
  <c r="H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AC153" i="10"/>
  <c r="B153" i="10"/>
  <c r="AC152" i="10"/>
  <c r="B152" i="10"/>
  <c r="AC151" i="10"/>
  <c r="B151" i="10"/>
  <c r="C151" i="10" s="1"/>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AC150" i="10"/>
  <c r="B150" i="10"/>
  <c r="AC149" i="10"/>
  <c r="Q149" i="10"/>
  <c r="R149" i="10" s="1"/>
  <c r="S149" i="10" s="1"/>
  <c r="T149" i="10" s="1"/>
  <c r="U149" i="10" s="1"/>
  <c r="V149" i="10" s="1"/>
  <c r="W149" i="10" s="1"/>
  <c r="X149" i="10" s="1"/>
  <c r="Y149" i="10" s="1"/>
  <c r="Z149" i="10" s="1"/>
  <c r="AA149" i="10" s="1"/>
  <c r="AB149" i="10" s="1"/>
  <c r="G149" i="10"/>
  <c r="H149" i="10" s="1"/>
  <c r="I149" i="10" s="1"/>
  <c r="J149" i="10" s="1"/>
  <c r="K149" i="10" s="1"/>
  <c r="L149" i="10" s="1"/>
  <c r="M149" i="10" s="1"/>
  <c r="N149" i="10" s="1"/>
  <c r="O149" i="10" s="1"/>
  <c r="P149" i="10" s="1"/>
  <c r="B149" i="10"/>
  <c r="C149" i="10" s="1"/>
  <c r="D149" i="10" s="1"/>
  <c r="E149" i="10" s="1"/>
  <c r="F149" i="10" s="1"/>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M146" i="10"/>
  <c r="N146" i="10" s="1"/>
  <c r="O146" i="10" s="1"/>
  <c r="P146" i="10" s="1"/>
  <c r="Q146" i="10" s="1"/>
  <c r="R146" i="10" s="1"/>
  <c r="S146" i="10" s="1"/>
  <c r="T146" i="10" s="1"/>
  <c r="U146" i="10" s="1"/>
  <c r="V146" i="10" s="1"/>
  <c r="W146" i="10" s="1"/>
  <c r="X146" i="10" s="1"/>
  <c r="Y146" i="10" s="1"/>
  <c r="Z146" i="10" s="1"/>
  <c r="AA146" i="10" s="1"/>
  <c r="AB146" i="10" s="1"/>
  <c r="L146" i="10"/>
  <c r="C146" i="10"/>
  <c r="D146" i="10" s="1"/>
  <c r="E146" i="10" s="1"/>
  <c r="F146" i="10" s="1"/>
  <c r="G146" i="10" s="1"/>
  <c r="H146" i="10" s="1"/>
  <c r="I146" i="10" s="1"/>
  <c r="J146" i="10" s="1"/>
  <c r="K146" i="10" s="1"/>
  <c r="B146" i="10"/>
  <c r="AC145" i="10"/>
  <c r="X145" i="10"/>
  <c r="Y145" i="10" s="1"/>
  <c r="Z145" i="10" s="1"/>
  <c r="AA145" i="10" s="1"/>
  <c r="AB145" i="10" s="1"/>
  <c r="E145" i="10"/>
  <c r="F145" i="10" s="1"/>
  <c r="G145" i="10" s="1"/>
  <c r="H145" i="10" s="1"/>
  <c r="I145" i="10" s="1"/>
  <c r="J145" i="10" s="1"/>
  <c r="K145" i="10" s="1"/>
  <c r="L145" i="10" s="1"/>
  <c r="M145" i="10" s="1"/>
  <c r="N145" i="10" s="1"/>
  <c r="O145" i="10" s="1"/>
  <c r="P145" i="10" s="1"/>
  <c r="Q145" i="10" s="1"/>
  <c r="R145" i="10" s="1"/>
  <c r="S145" i="10" s="1"/>
  <c r="T145" i="10" s="1"/>
  <c r="U145" i="10" s="1"/>
  <c r="V145" i="10" s="1"/>
  <c r="W145" i="10" s="1"/>
  <c r="C145" i="10"/>
  <c r="D145" i="10" s="1"/>
  <c r="B145" i="10"/>
  <c r="AC144"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G143" i="10"/>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F143" i="10"/>
  <c r="B143" i="10"/>
  <c r="C143" i="10" s="1"/>
  <c r="D143" i="10" s="1"/>
  <c r="E143" i="10" s="1"/>
  <c r="AC142" i="10"/>
  <c r="E142" i="10"/>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C142" i="10"/>
  <c r="D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c r="AB140" i="10" s="1"/>
  <c r="B140" i="10"/>
  <c r="AC139" i="10"/>
  <c r="J139" i="10"/>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E139" i="10" s="1"/>
  <c r="F139" i="10" s="1"/>
  <c r="G139" i="10" s="1"/>
  <c r="H139" i="10" s="1"/>
  <c r="I139" i="10" s="1"/>
  <c r="B139" i="10"/>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P136" i="10"/>
  <c r="Q136" i="10" s="1"/>
  <c r="R136" i="10" s="1"/>
  <c r="S136" i="10" s="1"/>
  <c r="T136" i="10" s="1"/>
  <c r="U136" i="10" s="1"/>
  <c r="V136" i="10" s="1"/>
  <c r="W136" i="10" s="1"/>
  <c r="X136" i="10" s="1"/>
  <c r="Y136" i="10" s="1"/>
  <c r="Z136" i="10" s="1"/>
  <c r="AA136" i="10" s="1"/>
  <c r="AB136" i="10" s="1"/>
  <c r="I136" i="10"/>
  <c r="J136" i="10" s="1"/>
  <c r="K136" i="10" s="1"/>
  <c r="L136" i="10" s="1"/>
  <c r="M136" i="10" s="1"/>
  <c r="N136" i="10" s="1"/>
  <c r="O136" i="10" s="1"/>
  <c r="G136" i="10"/>
  <c r="H136" i="10" s="1"/>
  <c r="C136" i="10"/>
  <c r="D136" i="10" s="1"/>
  <c r="E136" i="10" s="1"/>
  <c r="F136" i="10" s="1"/>
  <c r="B136" i="10"/>
  <c r="AC135" i="10"/>
  <c r="D135" i="10"/>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B135" i="10"/>
  <c r="AC134" i="10"/>
  <c r="E134" i="10"/>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134" i="10"/>
  <c r="D134" i="10" s="1"/>
  <c r="B134" i="10"/>
  <c r="AC133" i="10"/>
  <c r="G133" i="10"/>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F133" i="10"/>
  <c r="B133" i="10"/>
  <c r="C133" i="10" s="1"/>
  <c r="D133" i="10" s="1"/>
  <c r="E133" i="10" s="1"/>
  <c r="AC132" i="10"/>
  <c r="B132" i="10"/>
  <c r="AC131" i="10"/>
  <c r="Y131" i="10"/>
  <c r="Z131" i="10" s="1"/>
  <c r="AA131" i="10" s="1"/>
  <c r="AB131" i="10"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K124" i="10"/>
  <c r="L124" i="10" s="1"/>
  <c r="M124" i="10" s="1"/>
  <c r="N124" i="10" s="1"/>
  <c r="O124" i="10" s="1"/>
  <c r="P124" i="10" s="1"/>
  <c r="Q124" i="10" s="1"/>
  <c r="R124" i="10" s="1"/>
  <c r="S124" i="10" s="1"/>
  <c r="T124" i="10" s="1"/>
  <c r="U124" i="10" s="1"/>
  <c r="V124" i="10" s="1"/>
  <c r="W124" i="10" s="1"/>
  <c r="X124" i="10" s="1"/>
  <c r="Y124" i="10" s="1"/>
  <c r="Z124" i="10" s="1"/>
  <c r="AA124" i="10" s="1"/>
  <c r="AB124" i="10" s="1"/>
  <c r="J124" i="10"/>
  <c r="I124" i="10"/>
  <c r="C124" i="10"/>
  <c r="D124" i="10" s="1"/>
  <c r="E124" i="10" s="1"/>
  <c r="F124" i="10" s="1"/>
  <c r="G124" i="10" s="1"/>
  <c r="H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s="1"/>
  <c r="D122" i="10" s="1"/>
  <c r="E122" i="10" s="1"/>
  <c r="F122" i="10" s="1"/>
  <c r="G122" i="10" s="1"/>
  <c r="H122" i="10" s="1"/>
  <c r="I122" i="10" s="1"/>
  <c r="J122" i="10" s="1"/>
  <c r="K122" i="10"/>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AC120" i="10"/>
  <c r="B120" i="10"/>
  <c r="AC119" i="10"/>
  <c r="E119" i="10"/>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D119" i="10"/>
  <c r="C119" i="10"/>
  <c r="B119" i="10"/>
  <c r="AC118" i="10"/>
  <c r="B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AC117" i="10"/>
  <c r="B117" i="10"/>
  <c r="AC116" i="10"/>
  <c r="C116" i="10" s="1"/>
  <c r="D116" i="10" s="1"/>
  <c r="E116" i="10" s="1"/>
  <c r="F116" i="10" s="1"/>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D113" i="10"/>
  <c r="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c r="AB105" i="10" s="1"/>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B103" i="10"/>
  <c r="AC102" i="10"/>
  <c r="D102" i="10"/>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C102" i="10" s="1"/>
  <c r="AC101" i="10"/>
  <c r="C101" i="10" s="1"/>
  <c r="D101" i="10"/>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F100" i="10"/>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C100" i="10" s="1"/>
  <c r="D100" i="10" s="1"/>
  <c r="E100" i="10" s="1"/>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C97" i="10" s="1"/>
  <c r="D97" i="10" s="1"/>
  <c r="E97" i="10" s="1"/>
  <c r="F97" i="10" s="1"/>
  <c r="G97" i="10" s="1"/>
  <c r="H97" i="10" s="1"/>
  <c r="I97" i="10"/>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W96" i="10"/>
  <c r="X96" i="10" s="1"/>
  <c r="Y96" i="10" s="1"/>
  <c r="Z96" i="10" s="1"/>
  <c r="AA96" i="10" s="1"/>
  <c r="AB96" i="10" s="1"/>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AC93" i="10"/>
  <c r="C93" i="10" s="1"/>
  <c r="D93" i="10" s="1"/>
  <c r="E93" i="10" s="1"/>
  <c r="F93" i="10" s="1"/>
  <c r="G93" i="10" s="1"/>
  <c r="H93" i="10" s="1"/>
  <c r="I93" i="10" s="1"/>
  <c r="J93" i="10" s="1"/>
  <c r="K93" i="10" s="1"/>
  <c r="L93" i="10"/>
  <c r="M93" i="10" s="1"/>
  <c r="N93" i="10" s="1"/>
  <c r="O93" i="10" s="1"/>
  <c r="P93" i="10" s="1"/>
  <c r="Q93" i="10" s="1"/>
  <c r="R93" i="10" s="1"/>
  <c r="S93" i="10" s="1"/>
  <c r="T93" i="10" s="1"/>
  <c r="U93" i="10" s="1"/>
  <c r="V93" i="10" s="1"/>
  <c r="W93" i="10" s="1"/>
  <c r="X93" i="10" s="1"/>
  <c r="Y93" i="10" s="1"/>
  <c r="Z93" i="10" s="1"/>
  <c r="AA93" i="10" s="1"/>
  <c r="AB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c r="W86" i="10" s="1"/>
  <c r="X86" i="10" s="1"/>
  <c r="Y86" i="10" s="1"/>
  <c r="Z86" i="10" s="1"/>
  <c r="AA86" i="10" s="1"/>
  <c r="AB86" i="10" s="1"/>
  <c r="B86" i="10"/>
  <c r="AC85" i="10"/>
  <c r="J85" i="10"/>
  <c r="K85" i="10" s="1"/>
  <c r="L85" i="10" s="1"/>
  <c r="M85" i="10" s="1"/>
  <c r="N85" i="10" s="1"/>
  <c r="O85" i="10" s="1"/>
  <c r="P85" i="10" s="1"/>
  <c r="Q85" i="10" s="1"/>
  <c r="R85" i="10" s="1"/>
  <c r="S85" i="10" s="1"/>
  <c r="T85" i="10" s="1"/>
  <c r="U85" i="10" s="1"/>
  <c r="V85" i="10" s="1"/>
  <c r="W85" i="10" s="1"/>
  <c r="X85" i="10" s="1"/>
  <c r="Y85" i="10" s="1"/>
  <c r="Z85" i="10" s="1"/>
  <c r="AA85" i="10" s="1"/>
  <c r="AB85" i="10" s="1"/>
  <c r="G85" i="10"/>
  <c r="H85" i="10" s="1"/>
  <c r="I85" i="10" s="1"/>
  <c r="D85" i="10"/>
  <c r="E85" i="10" s="1"/>
  <c r="F85" i="10" s="1"/>
  <c r="C85" i="10"/>
  <c r="B85" i="10"/>
  <c r="AC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D83" i="10"/>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83" i="10"/>
  <c r="B83" i="10"/>
  <c r="AC82" i="10"/>
  <c r="J82" i="10"/>
  <c r="K82" i="10" s="1"/>
  <c r="L82" i="10" s="1"/>
  <c r="M82" i="10" s="1"/>
  <c r="N82" i="10" s="1"/>
  <c r="O82" i="10" s="1"/>
  <c r="P82" i="10" s="1"/>
  <c r="Q82" i="10" s="1"/>
  <c r="R82" i="10" s="1"/>
  <c r="S82" i="10" s="1"/>
  <c r="T82" i="10" s="1"/>
  <c r="U82" i="10" s="1"/>
  <c r="V82" i="10" s="1"/>
  <c r="W82" i="10" s="1"/>
  <c r="X82" i="10" s="1"/>
  <c r="Y82" i="10" s="1"/>
  <c r="Z82" i="10" s="1"/>
  <c r="AA82" i="10" s="1"/>
  <c r="AB82" i="10" s="1"/>
  <c r="C82" i="10"/>
  <c r="D82" i="10" s="1"/>
  <c r="E82" i="10" s="1"/>
  <c r="F82" i="10" s="1"/>
  <c r="G82" i="10" s="1"/>
  <c r="H82" i="10" s="1"/>
  <c r="I82" i="10" s="1"/>
  <c r="B82" i="10"/>
  <c r="AC81" i="10"/>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F78" i="10"/>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C78" i="10"/>
  <c r="D78" i="10" s="1"/>
  <c r="E78" i="10" s="1"/>
  <c r="B78" i="10"/>
  <c r="AC77" i="10"/>
  <c r="F77" i="10"/>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D77" i="10"/>
  <c r="E77" i="10" s="1"/>
  <c r="C77" i="10"/>
  <c r="B77" i="10"/>
  <c r="AC76" i="10"/>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AC73" i="10"/>
  <c r="D73" i="10"/>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C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N71" i="10"/>
  <c r="O71" i="10" s="1"/>
  <c r="P71" i="10" s="1"/>
  <c r="Q71" i="10" s="1"/>
  <c r="R71" i="10" s="1"/>
  <c r="S71" i="10" s="1"/>
  <c r="T71" i="10" s="1"/>
  <c r="U71" i="10" s="1"/>
  <c r="V71" i="10" s="1"/>
  <c r="W71" i="10" s="1"/>
  <c r="X71" i="10" s="1"/>
  <c r="Y71" i="10" s="1"/>
  <c r="Z71" i="10" s="1"/>
  <c r="AA71" i="10" s="1"/>
  <c r="AB71" i="10" s="1"/>
  <c r="C71" i="10"/>
  <c r="D71" i="10" s="1"/>
  <c r="E71" i="10" s="1"/>
  <c r="F71" i="10" s="1"/>
  <c r="G71" i="10" s="1"/>
  <c r="H71" i="10" s="1"/>
  <c r="I71" i="10" s="1"/>
  <c r="J71" i="10" s="1"/>
  <c r="K71" i="10" s="1"/>
  <c r="L71" i="10" s="1"/>
  <c r="M71" i="10" s="1"/>
  <c r="B71" i="10"/>
  <c r="AC70" i="10"/>
  <c r="T70" i="10"/>
  <c r="U70" i="10" s="1"/>
  <c r="V70" i="10" s="1"/>
  <c r="W70" i="10" s="1"/>
  <c r="X70" i="10" s="1"/>
  <c r="Y70" i="10" s="1"/>
  <c r="Z70" i="10" s="1"/>
  <c r="AA70" i="10" s="1"/>
  <c r="AB70" i="10" s="1"/>
  <c r="B70" i="10"/>
  <c r="C70" i="10" s="1"/>
  <c r="D70" i="10" s="1"/>
  <c r="E70" i="10" s="1"/>
  <c r="F70" i="10" s="1"/>
  <c r="G70" i="10" s="1"/>
  <c r="H70" i="10" s="1"/>
  <c r="I70" i="10" s="1"/>
  <c r="J70" i="10" s="1"/>
  <c r="K70" i="10" s="1"/>
  <c r="L70" i="10" s="1"/>
  <c r="M70" i="10" s="1"/>
  <c r="N70" i="10" s="1"/>
  <c r="O70" i="10" s="1"/>
  <c r="P70" i="10" s="1"/>
  <c r="Q70" i="10" s="1"/>
  <c r="R70" i="10" s="1"/>
  <c r="S70" i="10" s="1"/>
  <c r="AC69" i="10"/>
  <c r="H69" i="10"/>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D69" i="10"/>
  <c r="E69" i="10" s="1"/>
  <c r="F69" i="10" s="1"/>
  <c r="G69" i="10" s="1"/>
  <c r="C69" i="10"/>
  <c r="B69" i="10"/>
  <c r="AC68" i="10"/>
  <c r="S68" i="10"/>
  <c r="T68" i="10" s="1"/>
  <c r="U68" i="10" s="1"/>
  <c r="V68" i="10" s="1"/>
  <c r="W68" i="10" s="1"/>
  <c r="X68" i="10" s="1"/>
  <c r="Y68" i="10" s="1"/>
  <c r="Z68" i="10" s="1"/>
  <c r="AA68" i="10" s="1"/>
  <c r="AB68" i="10" s="1"/>
  <c r="B68" i="10"/>
  <c r="C68" i="10" s="1"/>
  <c r="D68" i="10" s="1"/>
  <c r="E68" i="10" s="1"/>
  <c r="F68" i="10" s="1"/>
  <c r="G68" i="10" s="1"/>
  <c r="H68" i="10" s="1"/>
  <c r="I68" i="10" s="1"/>
  <c r="J68" i="10" s="1"/>
  <c r="K68" i="10" s="1"/>
  <c r="L68" i="10" s="1"/>
  <c r="M68" i="10" s="1"/>
  <c r="N68" i="10" s="1"/>
  <c r="O68" i="10" s="1"/>
  <c r="P68" i="10" s="1"/>
  <c r="Q68" i="10" s="1"/>
  <c r="R68" i="10" s="1"/>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F64" i="10"/>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C64" i="10" s="1"/>
  <c r="D64" i="10" s="1"/>
  <c r="E64" i="10" s="1"/>
  <c r="AC63" i="10"/>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C63" i="10"/>
  <c r="B63" i="10"/>
  <c r="AC62" i="10"/>
  <c r="D62" i="10"/>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C62" i="10"/>
  <c r="B62" i="10"/>
  <c r="AC61" i="10"/>
  <c r="C61" i="10" s="1"/>
  <c r="D61" i="10" s="1"/>
  <c r="B61" i="10"/>
  <c r="AC56" i="10"/>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C56" i="10"/>
  <c r="B56" i="10"/>
  <c r="AC55" i="10"/>
  <c r="C55" i="10" s="1"/>
  <c r="D55" i="10" s="1"/>
  <c r="E55" i="10" s="1"/>
  <c r="F55" i="10" s="1"/>
  <c r="G55" i="10" s="1"/>
  <c r="H55" i="10" s="1"/>
  <c r="I55" i="10" s="1"/>
  <c r="J55" i="10" s="1"/>
  <c r="K55" i="10" s="1"/>
  <c r="L55" i="10" s="1"/>
  <c r="M55" i="10" s="1"/>
  <c r="N55" i="10" s="1"/>
  <c r="O55" i="10" s="1"/>
  <c r="P55" i="10" s="1"/>
  <c r="Q55" i="10" s="1"/>
  <c r="R55" i="10"/>
  <c r="S55" i="10" s="1"/>
  <c r="T55" i="10" s="1"/>
  <c r="U55" i="10" s="1"/>
  <c r="V55" i="10" s="1"/>
  <c r="W55" i="10" s="1"/>
  <c r="X55" i="10" s="1"/>
  <c r="Y55" i="10" s="1"/>
  <c r="Z55" i="10" s="1"/>
  <c r="AA55" i="10" s="1"/>
  <c r="AB55" i="10" s="1"/>
  <c r="B55" i="10"/>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D54" i="10"/>
  <c r="C54" i="10"/>
  <c r="AC53" i="10"/>
  <c r="K53" i="10"/>
  <c r="L53" i="10" s="1"/>
  <c r="M53" i="10" s="1"/>
  <c r="N53" i="10" s="1"/>
  <c r="O53" i="10" s="1"/>
  <c r="P53" i="10" s="1"/>
  <c r="Q53" i="10" s="1"/>
  <c r="R53" i="10" s="1"/>
  <c r="S53" i="10" s="1"/>
  <c r="T53" i="10" s="1"/>
  <c r="U53" i="10" s="1"/>
  <c r="V53" i="10" s="1"/>
  <c r="W53" i="10" s="1"/>
  <c r="X53" i="10" s="1"/>
  <c r="Y53" i="10" s="1"/>
  <c r="Z53" i="10" s="1"/>
  <c r="AA53" i="10" s="1"/>
  <c r="AB53" i="10" s="1"/>
  <c r="E53" i="10"/>
  <c r="F53" i="10" s="1"/>
  <c r="G53" i="10" s="1"/>
  <c r="H53" i="10" s="1"/>
  <c r="I53" i="10" s="1"/>
  <c r="J53" i="10" s="1"/>
  <c r="B53" i="10"/>
  <c r="C53" i="10" s="1"/>
  <c r="D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C51" i="10" s="1"/>
  <c r="D51" i="10" s="1"/>
  <c r="E51" i="10" s="1"/>
  <c r="F51" i="10" s="1"/>
  <c r="G51" i="10" s="1"/>
  <c r="H51" i="10" s="1"/>
  <c r="I51" i="10" s="1"/>
  <c r="J51" i="10" s="1"/>
  <c r="K51" i="10" s="1"/>
  <c r="L51" i="10" s="1"/>
  <c r="M51" i="10" s="1"/>
  <c r="N51" i="10" s="1"/>
  <c r="O51" i="10" s="1"/>
  <c r="P51" i="10" s="1"/>
  <c r="Q51" i="10" s="1"/>
  <c r="R51" i="10" s="1"/>
  <c r="S51" i="10"/>
  <c r="T51" i="10" s="1"/>
  <c r="U51" i="10" s="1"/>
  <c r="V51" i="10" s="1"/>
  <c r="W51" i="10" s="1"/>
  <c r="X51" i="10" s="1"/>
  <c r="Y51" i="10" s="1"/>
  <c r="Z51" i="10" s="1"/>
  <c r="AA51" i="10" s="1"/>
  <c r="AB51" i="10" s="1"/>
  <c r="B51" i="10"/>
  <c r="AC50" i="10"/>
  <c r="L50" i="10"/>
  <c r="M50" i="10" s="1"/>
  <c r="N50" i="10" s="1"/>
  <c r="O50" i="10" s="1"/>
  <c r="P50" i="10" s="1"/>
  <c r="Q50" i="10" s="1"/>
  <c r="R50" i="10" s="1"/>
  <c r="S50" i="10" s="1"/>
  <c r="T50" i="10" s="1"/>
  <c r="U50" i="10" s="1"/>
  <c r="V50" i="10" s="1"/>
  <c r="W50" i="10" s="1"/>
  <c r="X50" i="10" s="1"/>
  <c r="Y50" i="10" s="1"/>
  <c r="Z50" i="10" s="1"/>
  <c r="AA50" i="10" s="1"/>
  <c r="AB50" i="10" s="1"/>
  <c r="G50" i="10"/>
  <c r="H50" i="10" s="1"/>
  <c r="I50" i="10" s="1"/>
  <c r="J50" i="10" s="1"/>
  <c r="K50" i="10" s="1"/>
  <c r="B50" i="10"/>
  <c r="C50" i="10" s="1"/>
  <c r="D50" i="10" s="1"/>
  <c r="E50" i="10" s="1"/>
  <c r="F50" i="10" s="1"/>
  <c r="AC49" i="10"/>
  <c r="D49" i="10"/>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49" i="10"/>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s="1"/>
  <c r="D46" i="10" s="1"/>
  <c r="E46" i="10" s="1"/>
  <c r="F46" i="10" s="1"/>
  <c r="G46" i="10" s="1"/>
  <c r="O46" i="10"/>
  <c r="P46" i="10" s="1"/>
  <c r="Q46" i="10" s="1"/>
  <c r="R46" i="10" s="1"/>
  <c r="S46" i="10" s="1"/>
  <c r="T46" i="10" s="1"/>
  <c r="U46" i="10" s="1"/>
  <c r="V46" i="10" s="1"/>
  <c r="W46" i="10" s="1"/>
  <c r="X46" i="10" s="1"/>
  <c r="Y46" i="10" s="1"/>
  <c r="Z46" i="10" s="1"/>
  <c r="AA46" i="10" s="1"/>
  <c r="AB46" i="10" s="1"/>
  <c r="N46" i="10"/>
  <c r="H46" i="10"/>
  <c r="I46" i="10" s="1"/>
  <c r="J46" i="10" s="1"/>
  <c r="K46" i="10" s="1"/>
  <c r="L46" i="10" s="1"/>
  <c r="M46" i="10" s="1"/>
  <c r="B46" i="10"/>
  <c r="AC45" i="10"/>
  <c r="C45" i="10" s="1"/>
  <c r="D45" i="10" s="1"/>
  <c r="E45" i="10" s="1"/>
  <c r="F45" i="10" s="1"/>
  <c r="G45" i="10"/>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F44" i="10"/>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C44" i="10" s="1"/>
  <c r="D44" i="10" s="1"/>
  <c r="E44" i="10" s="1"/>
  <c r="AC43" i="10"/>
  <c r="J43" i="10"/>
  <c r="K43" i="10" s="1"/>
  <c r="L43" i="10" s="1"/>
  <c r="M43" i="10" s="1"/>
  <c r="N43" i="10" s="1"/>
  <c r="O43" i="10" s="1"/>
  <c r="P43" i="10" s="1"/>
  <c r="Q43" i="10" s="1"/>
  <c r="R43" i="10" s="1"/>
  <c r="S43" i="10" s="1"/>
  <c r="T43" i="10" s="1"/>
  <c r="U43" i="10" s="1"/>
  <c r="V43" i="10" s="1"/>
  <c r="W43" i="10" s="1"/>
  <c r="X43" i="10" s="1"/>
  <c r="Y43" i="10" s="1"/>
  <c r="Z43" i="10" s="1"/>
  <c r="AA43" i="10" s="1"/>
  <c r="AB43" i="10" s="1"/>
  <c r="B43" i="10"/>
  <c r="C43" i="10" s="1"/>
  <c r="D43" i="10" s="1"/>
  <c r="E43" i="10" s="1"/>
  <c r="F43" i="10" s="1"/>
  <c r="G43" i="10" s="1"/>
  <c r="H43" i="10" s="1"/>
  <c r="I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s="1"/>
  <c r="D40" i="10" s="1"/>
  <c r="E40"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E39" i="10"/>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C39" i="10" s="1"/>
  <c r="D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s="1"/>
  <c r="D37" i="10"/>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Q36" i="10"/>
  <c r="R36" i="10" s="1"/>
  <c r="S36" i="10" s="1"/>
  <c r="T36" i="10" s="1"/>
  <c r="U36" i="10" s="1"/>
  <c r="V36" i="10" s="1"/>
  <c r="W36" i="10" s="1"/>
  <c r="X36" i="10" s="1"/>
  <c r="Y36" i="10" s="1"/>
  <c r="Z36" i="10" s="1"/>
  <c r="AA36" i="10" s="1"/>
  <c r="AB36" i="10" s="1"/>
  <c r="N36" i="10"/>
  <c r="O36" i="10" s="1"/>
  <c r="P36" i="10" s="1"/>
  <c r="B36" i="10"/>
  <c r="C36" i="10" s="1"/>
  <c r="D36" i="10" s="1"/>
  <c r="E36" i="10" s="1"/>
  <c r="F36" i="10" s="1"/>
  <c r="G36" i="10" s="1"/>
  <c r="H36" i="10" s="1"/>
  <c r="I36" i="10" s="1"/>
  <c r="J36" i="10" s="1"/>
  <c r="K36" i="10" s="1"/>
  <c r="L36" i="10" s="1"/>
  <c r="M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E34" i="10"/>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34" i="10"/>
  <c r="D34" i="10" s="1"/>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31" i="10"/>
  <c r="B31" i="10"/>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C29" i="10" s="1"/>
  <c r="D29" i="10" s="1"/>
  <c r="E29" i="10"/>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B28" i="10"/>
  <c r="AC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C25" i="10" s="1"/>
  <c r="D25" i="10" s="1"/>
  <c r="E25" i="10" s="1"/>
  <c r="F25" i="10" s="1"/>
  <c r="G25" i="10" s="1"/>
  <c r="H25" i="10" s="1"/>
  <c r="I25" i="10" s="1"/>
  <c r="J25" i="10" s="1"/>
  <c r="K25" i="10"/>
  <c r="L25" i="10" s="1"/>
  <c r="M25" i="10" s="1"/>
  <c r="N25" i="10" s="1"/>
  <c r="O25" i="10" s="1"/>
  <c r="P25" i="10" s="1"/>
  <c r="Q25" i="10" s="1"/>
  <c r="R25" i="10" s="1"/>
  <c r="S25" i="10" s="1"/>
  <c r="T25" i="10" s="1"/>
  <c r="U25" i="10" s="1"/>
  <c r="V25" i="10" s="1"/>
  <c r="W25" i="10" s="1"/>
  <c r="X25" i="10" s="1"/>
  <c r="Y25" i="10" s="1"/>
  <c r="Z25" i="10" s="1"/>
  <c r="AA25" i="10" s="1"/>
  <c r="AB25" i="10" s="1"/>
  <c r="B25" i="10"/>
  <c r="AC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E21" i="10"/>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C21" i="10" s="1"/>
  <c r="D21" i="10" s="1"/>
  <c r="AC20" i="10"/>
  <c r="F20" i="10"/>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C20" i="10"/>
  <c r="D20" i="10" s="1"/>
  <c r="E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C16" i="10" s="1"/>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57" i="10" s="1"/>
  <c r="B5" i="10"/>
  <c r="B4" i="10"/>
  <c r="H9" i="9"/>
  <c r="G9" i="9"/>
  <c r="I9" i="9" s="1"/>
  <c r="E9" i="9"/>
  <c r="D9" i="9"/>
  <c r="F9" i="9" s="1"/>
  <c r="C9" i="9"/>
  <c r="B9" i="9"/>
  <c r="A9" i="9"/>
  <c r="O5" i="9"/>
  <c r="N5" i="9"/>
  <c r="M5" i="9"/>
  <c r="L5" i="9"/>
  <c r="K5" i="9"/>
  <c r="B1" i="9"/>
  <c r="F54" i="7"/>
  <c r="E54" i="7"/>
  <c r="D54" i="7"/>
  <c r="C54" i="7"/>
  <c r="F53" i="7"/>
  <c r="E53" i="7"/>
  <c r="D53" i="7"/>
  <c r="H53" i="7" s="1"/>
  <c r="C53" i="7"/>
  <c r="H52" i="7"/>
  <c r="F52" i="7"/>
  <c r="E52" i="7"/>
  <c r="D52" i="7"/>
  <c r="C52" i="7"/>
  <c r="G52" i="7" s="1"/>
  <c r="F51" i="7"/>
  <c r="E51" i="7"/>
  <c r="D51" i="7"/>
  <c r="H51" i="7" s="1"/>
  <c r="C51" i="7"/>
  <c r="F50" i="7"/>
  <c r="G50" i="7" s="1"/>
  <c r="E50" i="7"/>
  <c r="D50" i="7"/>
  <c r="C50" i="7"/>
  <c r="H49" i="7"/>
  <c r="F49" i="7"/>
  <c r="E49" i="7"/>
  <c r="D49" i="7"/>
  <c r="C49" i="7"/>
  <c r="H48" i="7"/>
  <c r="F48" i="7"/>
  <c r="E48" i="7"/>
  <c r="D48" i="7"/>
  <c r="C48" i="7"/>
  <c r="G48" i="7" s="1"/>
  <c r="F47" i="7"/>
  <c r="E47" i="7"/>
  <c r="D47" i="7"/>
  <c r="C47" i="7"/>
  <c r="F46" i="7"/>
  <c r="G46" i="7" s="1"/>
  <c r="E46" i="7"/>
  <c r="D46" i="7"/>
  <c r="H46" i="7" s="1"/>
  <c r="C46" i="7"/>
  <c r="F45" i="7"/>
  <c r="E45" i="7"/>
  <c r="D45" i="7"/>
  <c r="C45" i="7"/>
  <c r="F44" i="7"/>
  <c r="E44" i="7"/>
  <c r="D44" i="7"/>
  <c r="C44" i="7"/>
  <c r="F43" i="7"/>
  <c r="E43" i="7"/>
  <c r="D43" i="7"/>
  <c r="C43" i="7"/>
  <c r="F42" i="7"/>
  <c r="G42" i="7" s="1"/>
  <c r="E42" i="7"/>
  <c r="D42" i="7"/>
  <c r="H42" i="7" s="1"/>
  <c r="C42" i="7"/>
  <c r="F41" i="7"/>
  <c r="E41" i="7"/>
  <c r="D41" i="7"/>
  <c r="C41" i="7"/>
  <c r="G40" i="7"/>
  <c r="F40" i="7"/>
  <c r="E40" i="7"/>
  <c r="D40" i="7"/>
  <c r="H40" i="7" s="1"/>
  <c r="C40" i="7"/>
  <c r="F39" i="7"/>
  <c r="G39" i="7" s="1"/>
  <c r="E39" i="7"/>
  <c r="D39" i="7"/>
  <c r="C39" i="7"/>
  <c r="G38" i="7"/>
  <c r="F38" i="7"/>
  <c r="E38" i="7"/>
  <c r="D38" i="7"/>
  <c r="C38" i="7"/>
  <c r="H38" i="7" s="1"/>
  <c r="F37" i="7"/>
  <c r="E37" i="7"/>
  <c r="D37" i="7"/>
  <c r="C37" i="7"/>
  <c r="F36" i="7"/>
  <c r="G36" i="7" s="1"/>
  <c r="E36" i="7"/>
  <c r="D36" i="7"/>
  <c r="C36" i="7"/>
  <c r="F35" i="7"/>
  <c r="E35" i="7"/>
  <c r="D35" i="7"/>
  <c r="C35" i="7"/>
  <c r="F34" i="7"/>
  <c r="H34" i="7" s="1"/>
  <c r="E34" i="7"/>
  <c r="D34" i="7"/>
  <c r="C34" i="7"/>
  <c r="F33" i="7"/>
  <c r="E33" i="7"/>
  <c r="D33" i="7"/>
  <c r="C33" i="7"/>
  <c r="G33" i="7" s="1"/>
  <c r="F32" i="7"/>
  <c r="E32" i="7"/>
  <c r="D32" i="7"/>
  <c r="C32" i="7"/>
  <c r="F31" i="7"/>
  <c r="E31" i="7"/>
  <c r="D31" i="7"/>
  <c r="H31" i="7" s="1"/>
  <c r="C31" i="7"/>
  <c r="H30" i="7"/>
  <c r="G30" i="7"/>
  <c r="F30" i="7"/>
  <c r="E30" i="7"/>
  <c r="D30" i="7"/>
  <c r="C30" i="7"/>
  <c r="F29" i="7"/>
  <c r="E29" i="7"/>
  <c r="D29" i="7"/>
  <c r="C29" i="7"/>
  <c r="H28" i="7"/>
  <c r="F28" i="7"/>
  <c r="E28" i="7"/>
  <c r="D28" i="7"/>
  <c r="G28" i="7" s="1"/>
  <c r="C28" i="7"/>
  <c r="H27" i="7"/>
  <c r="F27" i="7"/>
  <c r="G27" i="7" s="1"/>
  <c r="E27" i="7"/>
  <c r="D27" i="7"/>
  <c r="C27" i="7"/>
  <c r="H26" i="7"/>
  <c r="F26" i="7"/>
  <c r="E26" i="7"/>
  <c r="D26" i="7"/>
  <c r="C26" i="7"/>
  <c r="G26" i="7" s="1"/>
  <c r="F25" i="7"/>
  <c r="E25" i="7"/>
  <c r="D25" i="7"/>
  <c r="C25" i="7"/>
  <c r="F24" i="7"/>
  <c r="E24" i="7"/>
  <c r="D24" i="7"/>
  <c r="G24" i="7" s="1"/>
  <c r="C24" i="7"/>
  <c r="H24" i="7" s="1"/>
  <c r="H23" i="7"/>
  <c r="F23" i="7"/>
  <c r="G23" i="7" s="1"/>
  <c r="E23" i="7"/>
  <c r="D23" i="7"/>
  <c r="C23" i="7"/>
  <c r="G22" i="7"/>
  <c r="F22" i="7"/>
  <c r="E22" i="7"/>
  <c r="D22" i="7"/>
  <c r="C22" i="7"/>
  <c r="F21" i="7"/>
  <c r="E21" i="7"/>
  <c r="D21" i="7"/>
  <c r="C21" i="7"/>
  <c r="H20" i="7"/>
  <c r="F20" i="7"/>
  <c r="E20" i="7"/>
  <c r="D20" i="7"/>
  <c r="C20" i="7"/>
  <c r="G20" i="7" s="1"/>
  <c r="H19" i="7"/>
  <c r="G19" i="7"/>
  <c r="F19" i="7"/>
  <c r="E19" i="7"/>
  <c r="D19" i="7"/>
  <c r="C19" i="7"/>
  <c r="G18" i="7"/>
  <c r="F18" i="7"/>
  <c r="E18" i="7"/>
  <c r="D18" i="7"/>
  <c r="C18" i="7"/>
  <c r="F17" i="7"/>
  <c r="E17" i="7"/>
  <c r="D17" i="7"/>
  <c r="C17" i="7"/>
  <c r="H16" i="7"/>
  <c r="G16" i="7"/>
  <c r="F16" i="7"/>
  <c r="E16" i="7"/>
  <c r="D16" i="7"/>
  <c r="C16" i="7"/>
  <c r="H15" i="7"/>
  <c r="G15" i="7"/>
  <c r="F15" i="7"/>
  <c r="E15" i="7"/>
  <c r="D15" i="7"/>
  <c r="C15" i="7"/>
  <c r="F14" i="7"/>
  <c r="E14" i="7"/>
  <c r="D14" i="7"/>
  <c r="C14" i="7"/>
  <c r="G14" i="7" s="1"/>
  <c r="H13" i="7"/>
  <c r="F13" i="7"/>
  <c r="E13" i="7"/>
  <c r="D13" i="7"/>
  <c r="C13" i="7"/>
  <c r="H12" i="7"/>
  <c r="G12" i="7"/>
  <c r="F12" i="7"/>
  <c r="E12" i="7"/>
  <c r="D12" i="7"/>
  <c r="C12" i="7"/>
  <c r="F11" i="7"/>
  <c r="E11" i="7"/>
  <c r="D11" i="7"/>
  <c r="C11" i="7"/>
  <c r="F10" i="7"/>
  <c r="E10" i="7"/>
  <c r="D10" i="7"/>
  <c r="C10" i="7"/>
  <c r="H9" i="7"/>
  <c r="G9" i="7"/>
  <c r="F9" i="7"/>
  <c r="E9" i="7"/>
  <c r="D9" i="7"/>
  <c r="C9" i="7"/>
  <c r="F8" i="7"/>
  <c r="G8" i="7" s="1"/>
  <c r="E8" i="7"/>
  <c r="H8" i="7" s="1"/>
  <c r="D8" i="7"/>
  <c r="C8" i="7"/>
  <c r="F7" i="7"/>
  <c r="G7" i="7" s="1"/>
  <c r="E7" i="7"/>
  <c r="D7" i="7"/>
  <c r="C7" i="7"/>
  <c r="B2" i="1"/>
  <c r="B2" i="9" s="1"/>
  <c r="J5" i="9" s="1"/>
  <c r="D5" i="9" l="1"/>
  <c r="H5" i="9"/>
  <c r="B5" i="9"/>
  <c r="I5" i="9"/>
  <c r="H29" i="7"/>
  <c r="G29" i="7"/>
  <c r="G44" i="7"/>
  <c r="H44" i="7"/>
  <c r="G49" i="7"/>
  <c r="C9" i="10"/>
  <c r="H25" i="7"/>
  <c r="G25" i="7"/>
  <c r="H39" i="7"/>
  <c r="B171" i="10"/>
  <c r="B2" i="11" s="1"/>
  <c r="G32" i="7"/>
  <c r="H41" i="7"/>
  <c r="G41" i="7"/>
  <c r="H47" i="7"/>
  <c r="H17" i="7"/>
  <c r="G17" i="7"/>
  <c r="G13" i="7"/>
  <c r="H21" i="7"/>
  <c r="G21" i="7"/>
  <c r="G37" i="7"/>
  <c r="H37" i="7"/>
  <c r="G51" i="7"/>
  <c r="Y5" i="9"/>
  <c r="S5" i="9"/>
  <c r="Q5" i="9"/>
  <c r="P5" i="9"/>
  <c r="AA5" i="9"/>
  <c r="G35" i="7"/>
  <c r="H35" i="7"/>
  <c r="H14" i="7"/>
  <c r="G47" i="7"/>
  <c r="H32" i="7"/>
  <c r="H33" i="7"/>
  <c r="H10" i="7"/>
  <c r="G10" i="7"/>
  <c r="G31" i="7"/>
  <c r="H45" i="7"/>
  <c r="G45" i="7"/>
  <c r="T5" i="9"/>
  <c r="H11" i="7"/>
  <c r="G11" i="7"/>
  <c r="H36" i="7"/>
  <c r="H50" i="7"/>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G43" i="7"/>
  <c r="G34" i="7"/>
  <c r="H43" i="7"/>
  <c r="E61"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H54" i="7"/>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109" i="10"/>
  <c r="R5" i="9"/>
  <c r="H18" i="7"/>
  <c r="G53" i="7"/>
  <c r="AB5" i="9"/>
  <c r="F5" i="9"/>
  <c r="Z5" i="9"/>
  <c r="C5" i="9"/>
  <c r="X5" i="9"/>
  <c r="U5" i="9"/>
  <c r="G5" i="9"/>
  <c r="E5" i="9"/>
  <c r="H22" i="7"/>
  <c r="V5" i="9"/>
  <c r="H7" i="7"/>
  <c r="W5" i="9"/>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G54" i="7"/>
  <c r="B109" i="10"/>
  <c r="B172" i="10" s="1"/>
  <c r="B2" i="12" s="1"/>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61" i="10"/>
  <c r="B173" i="10" s="1"/>
  <c r="B2" i="13"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D161" i="10"/>
  <c r="D173" i="10" s="1"/>
  <c r="D2" i="13" s="1"/>
  <c r="E113"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D109" i="10" l="1"/>
  <c r="D172" i="10" s="1"/>
  <c r="D2" i="12" s="1"/>
  <c r="C161" i="10"/>
  <c r="E109" i="10"/>
  <c r="F61" i="10"/>
  <c r="C57" i="10"/>
  <c r="D9" i="10"/>
  <c r="C172" i="10"/>
  <c r="C2" i="12" s="1"/>
  <c r="C171" i="10"/>
  <c r="C2" i="11" s="1"/>
  <c r="C173" i="10"/>
  <c r="C2" i="13" s="1"/>
  <c r="E173" i="10"/>
  <c r="E2" i="13" s="1"/>
  <c r="E172" i="10"/>
  <c r="E2" i="12" s="1"/>
  <c r="E161" i="10"/>
  <c r="F113" i="10"/>
  <c r="E9" i="10" l="1"/>
  <c r="D57" i="10"/>
  <c r="D171" i="10" s="1"/>
  <c r="D2" i="11" s="1"/>
  <c r="G113" i="10"/>
  <c r="F161" i="10"/>
  <c r="F173" i="10" s="1"/>
  <c r="F2" i="13" s="1"/>
  <c r="F109" i="10"/>
  <c r="F172" i="10" s="1"/>
  <c r="F2" i="12" s="1"/>
  <c r="G61" i="10"/>
  <c r="G109" i="10" l="1"/>
  <c r="G172" i="10" s="1"/>
  <c r="G2" i="12" s="1"/>
  <c r="H61" i="10"/>
  <c r="H113" i="10"/>
  <c r="G161" i="10"/>
  <c r="G173" i="10" s="1"/>
  <c r="G2" i="13" s="1"/>
  <c r="F9" i="10"/>
  <c r="E57" i="10"/>
  <c r="E171" i="10" s="1"/>
  <c r="E2" i="11" s="1"/>
  <c r="G9" i="10" l="1"/>
  <c r="F57" i="10"/>
  <c r="F171" i="10" s="1"/>
  <c r="F2" i="11" s="1"/>
  <c r="H161" i="10"/>
  <c r="H173" i="10" s="1"/>
  <c r="H2" i="13" s="1"/>
  <c r="I113" i="10"/>
  <c r="H109" i="10"/>
  <c r="H172" i="10" s="1"/>
  <c r="H2" i="12" s="1"/>
  <c r="I61" i="10"/>
  <c r="I109" i="10" l="1"/>
  <c r="I172" i="10" s="1"/>
  <c r="I2" i="12" s="1"/>
  <c r="J61" i="10"/>
  <c r="I161" i="10"/>
  <c r="I173" i="10" s="1"/>
  <c r="I2" i="13" s="1"/>
  <c r="J113" i="10"/>
  <c r="H9" i="10"/>
  <c r="G57" i="10"/>
  <c r="G171" i="10" s="1"/>
  <c r="G2" i="11" s="1"/>
  <c r="K113" i="10" l="1"/>
  <c r="J161" i="10"/>
  <c r="J173" i="10" s="1"/>
  <c r="J2" i="13" s="1"/>
  <c r="K61" i="10"/>
  <c r="J109" i="10"/>
  <c r="J172" i="10" s="1"/>
  <c r="J2" i="12" s="1"/>
  <c r="I9" i="10"/>
  <c r="H57" i="10"/>
  <c r="H171" i="10" s="1"/>
  <c r="H2" i="11" s="1"/>
  <c r="J9" i="10" l="1"/>
  <c r="I57" i="10"/>
  <c r="I171" i="10" s="1"/>
  <c r="I2" i="11" s="1"/>
  <c r="L61" i="10"/>
  <c r="K109" i="10"/>
  <c r="K172" i="10" s="1"/>
  <c r="K2" i="12" s="1"/>
  <c r="L113" i="10"/>
  <c r="K161" i="10"/>
  <c r="K173" i="10" s="1"/>
  <c r="K2" i="13" s="1"/>
  <c r="L161" i="10" l="1"/>
  <c r="L173" i="10" s="1"/>
  <c r="L2" i="13" s="1"/>
  <c r="M113" i="10"/>
  <c r="L109" i="10"/>
  <c r="L172" i="10" s="1"/>
  <c r="L2" i="12" s="1"/>
  <c r="M61" i="10"/>
  <c r="K9" i="10"/>
  <c r="J57" i="10"/>
  <c r="J171" i="10" s="1"/>
  <c r="J2" i="11" s="1"/>
  <c r="M109" i="10" l="1"/>
  <c r="M172" i="10" s="1"/>
  <c r="M2" i="12" s="1"/>
  <c r="N61" i="10"/>
  <c r="L9" i="10"/>
  <c r="K57" i="10"/>
  <c r="K171" i="10" s="1"/>
  <c r="K2" i="11" s="1"/>
  <c r="M161" i="10"/>
  <c r="M173" i="10" s="1"/>
  <c r="M2" i="13" s="1"/>
  <c r="N113" i="10"/>
  <c r="O113" i="10" l="1"/>
  <c r="N161" i="10"/>
  <c r="N173" i="10" s="1"/>
  <c r="N2" i="13" s="1"/>
  <c r="M9" i="10"/>
  <c r="L57" i="10"/>
  <c r="L171" i="10" s="1"/>
  <c r="L2" i="11" s="1"/>
  <c r="N109" i="10"/>
  <c r="N172" i="10" s="1"/>
  <c r="N2" i="12" s="1"/>
  <c r="O61" i="10"/>
  <c r="O109" i="10" l="1"/>
  <c r="O172" i="10" s="1"/>
  <c r="O2" i="12" s="1"/>
  <c r="P61" i="10"/>
  <c r="N9" i="10"/>
  <c r="M57" i="10"/>
  <c r="M171" i="10" s="1"/>
  <c r="M2" i="11" s="1"/>
  <c r="P113" i="10"/>
  <c r="O161" i="10"/>
  <c r="O173" i="10" s="1"/>
  <c r="O2" i="13" s="1"/>
  <c r="P161" i="10" l="1"/>
  <c r="P173" i="10" s="1"/>
  <c r="P2" i="13" s="1"/>
  <c r="Q113" i="10"/>
  <c r="P109" i="10"/>
  <c r="P172" i="10" s="1"/>
  <c r="P2" i="12" s="1"/>
  <c r="Q61" i="10"/>
  <c r="O9" i="10"/>
  <c r="N57" i="10"/>
  <c r="N171" i="10" s="1"/>
  <c r="N2" i="11" s="1"/>
  <c r="Q161" i="10" l="1"/>
  <c r="Q173" i="10" s="1"/>
  <c r="Q2" i="13" s="1"/>
  <c r="R113" i="10"/>
  <c r="R61" i="10"/>
  <c r="Q109" i="10"/>
  <c r="Q172" i="10" s="1"/>
  <c r="Q2" i="12" s="1"/>
  <c r="O57" i="10"/>
  <c r="O171" i="10" s="1"/>
  <c r="O2" i="11" s="1"/>
  <c r="P9" i="10"/>
  <c r="R161" i="10" l="1"/>
  <c r="R173" i="10" s="1"/>
  <c r="R2" i="13" s="1"/>
  <c r="S113" i="10"/>
  <c r="P57" i="10"/>
  <c r="P171" i="10" s="1"/>
  <c r="P2" i="11" s="1"/>
  <c r="Q9" i="10"/>
  <c r="R109" i="10"/>
  <c r="R172" i="10" s="1"/>
  <c r="R2" i="12" s="1"/>
  <c r="S61" i="10"/>
  <c r="S109" i="10" l="1"/>
  <c r="S172" i="10" s="1"/>
  <c r="S2" i="12" s="1"/>
  <c r="T61" i="10"/>
  <c r="Q57" i="10"/>
  <c r="Q171" i="10" s="1"/>
  <c r="Q2" i="11" s="1"/>
  <c r="R9" i="10"/>
  <c r="S161" i="10"/>
  <c r="S173" i="10" s="1"/>
  <c r="S2" i="13" s="1"/>
  <c r="T113" i="10"/>
  <c r="U113" i="10" l="1"/>
  <c r="T161" i="10"/>
  <c r="T173" i="10" s="1"/>
  <c r="T2" i="13" s="1"/>
  <c r="R57" i="10"/>
  <c r="R171" i="10" s="1"/>
  <c r="R2" i="11" s="1"/>
  <c r="S9" i="10"/>
  <c r="U61" i="10"/>
  <c r="T109" i="10"/>
  <c r="T172" i="10" s="1"/>
  <c r="T2" i="12" s="1"/>
  <c r="S57" i="10" l="1"/>
  <c r="S171" i="10" s="1"/>
  <c r="S2" i="11" s="1"/>
  <c r="T9" i="10"/>
  <c r="U109" i="10"/>
  <c r="U172" i="10" s="1"/>
  <c r="U2" i="12" s="1"/>
  <c r="V61" i="10"/>
  <c r="U161" i="10"/>
  <c r="U173" i="10" s="1"/>
  <c r="U2" i="13" s="1"/>
  <c r="V113" i="10"/>
  <c r="V109" i="10" l="1"/>
  <c r="V172" i="10" s="1"/>
  <c r="V2" i="12" s="1"/>
  <c r="W61" i="10"/>
  <c r="V161" i="10"/>
  <c r="V173" i="10" s="1"/>
  <c r="V2" i="13" s="1"/>
  <c r="W113" i="10"/>
  <c r="T57" i="10"/>
  <c r="T171" i="10" s="1"/>
  <c r="T2" i="11" s="1"/>
  <c r="U9" i="10"/>
  <c r="U57" i="10" l="1"/>
  <c r="U171" i="10" s="1"/>
  <c r="U2" i="11" s="1"/>
  <c r="V9" i="10"/>
  <c r="W161" i="10"/>
  <c r="W173" i="10" s="1"/>
  <c r="W2" i="13" s="1"/>
  <c r="X113" i="10"/>
  <c r="X61" i="10"/>
  <c r="W109" i="10"/>
  <c r="W172" i="10" s="1"/>
  <c r="W2" i="12" s="1"/>
  <c r="Y61" i="10" l="1"/>
  <c r="X109" i="10"/>
  <c r="X172" i="10" s="1"/>
  <c r="X2" i="12" s="1"/>
  <c r="Y113" i="10"/>
  <c r="X161" i="10"/>
  <c r="X173" i="10" s="1"/>
  <c r="X2" i="13" s="1"/>
  <c r="V57" i="10"/>
  <c r="V171" i="10" s="1"/>
  <c r="V2" i="11" s="1"/>
  <c r="W9" i="10"/>
  <c r="W57" i="10" l="1"/>
  <c r="W171" i="10" s="1"/>
  <c r="W2" i="11" s="1"/>
  <c r="X9" i="10"/>
  <c r="Z113" i="10"/>
  <c r="Y161" i="10"/>
  <c r="Y173" i="10" s="1"/>
  <c r="Y2" i="13" s="1"/>
  <c r="Z61" i="10"/>
  <c r="Y109" i="10"/>
  <c r="Y172" i="10" s="1"/>
  <c r="Y2" i="12" s="1"/>
  <c r="Z109" i="10" l="1"/>
  <c r="Z172" i="10" s="1"/>
  <c r="Z2" i="12" s="1"/>
  <c r="AA61" i="10"/>
  <c r="AA113" i="10"/>
  <c r="Z161" i="10"/>
  <c r="Z173" i="10" s="1"/>
  <c r="Z2" i="13" s="1"/>
  <c r="X57" i="10"/>
  <c r="X171" i="10" s="1"/>
  <c r="X2" i="11" s="1"/>
  <c r="Y9" i="10"/>
  <c r="Y57" i="10" l="1"/>
  <c r="Y171" i="10" s="1"/>
  <c r="Y2" i="11" s="1"/>
  <c r="Z9" i="10"/>
  <c r="AB113" i="10"/>
  <c r="AB161" i="10" s="1"/>
  <c r="AB173" i="10" s="1"/>
  <c r="AB2" i="13" s="1"/>
  <c r="AA161" i="10"/>
  <c r="AA173" i="10" s="1"/>
  <c r="AA2" i="13" s="1"/>
  <c r="AB61" i="10"/>
  <c r="AB109" i="10" s="1"/>
  <c r="AB172" i="10" s="1"/>
  <c r="AB2" i="12" s="1"/>
  <c r="AA109" i="10"/>
  <c r="AA172" i="10" s="1"/>
  <c r="AA2" i="12" s="1"/>
  <c r="Z57" i="10" l="1"/>
  <c r="Z171" i="10" s="1"/>
  <c r="Z2" i="11" s="1"/>
  <c r="AA9" i="10"/>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<sst xmlns="http://schemas.openxmlformats.org/spreadsheetml/2006/main" count="725" uniqueCount="267">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</sst>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64</v>
      </c>
      <c r="C1" s="11">
        <v>46266</v>
      </c>
      <c r="F1" s="1" t="s">
        <v>2</v>
      </c>
      <c r="G1" s="1" t="s">
        <v>3</v>
      </c>
    </row>
    <row r="2" spans="1:7" x14ac:dyDescent="0.45">
      <c r="A2" s="1" t="s">
        <v>4</v>
      </c>
      <c r="B2" t="str">
        <f>INDEX($G$2:$G$49,MATCH($B$1,$F$2:$F$49,0))</f>
        <v>MN</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Minnesota</v>
      </c>
    </row>
    <row r="2" spans="1:28" x14ac:dyDescent="0.45">
      <c r="B2" t="str">
        <f>About!B2</f>
        <v>MN</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Minnesota</v>
      </c>
    </row>
    <row r="5" spans="1:29" x14ac:dyDescent="0.45">
      <c r="A5" t="s">
        <v>246</v>
      </c>
      <c r="B5" t="str">
        <f>About!$B$2</f>
        <v>MN</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490469.24508373986</v>
      </c>
      <c r="C171">
        <f>IF('State Calculations'!C$5&lt;&gt;"",B171*(1+'State Calculations'!C$5),IFERROR(INDEX(C9:C56,MATCH($B$5,$A9:$A56,0))/C57*C165,0))</f>
        <v>613586.15539185493</v>
      </c>
      <c r="D171">
        <f>IF('State Calculations'!D$5&lt;&gt;"",C171*(1+'State Calculations'!D$5),IFERROR(INDEX(D9:D56,MATCH($B$5,$A9:$A56,0))/D57*D165,0))</f>
        <v>764971.70924359607</v>
      </c>
      <c r="E171">
        <f>IF('State Calculations'!E$5&lt;&gt;"",D171*(1+'State Calculations'!E$5),IFERROR(INDEX(E9:E56,MATCH($B$5,$A9:$A56,0))/E57*E165,0))</f>
        <v>949782.8833339999</v>
      </c>
      <c r="F171">
        <f>IF('State Calculations'!F$5&lt;&gt;"",E171*(1+'State Calculations'!F$5),IFERROR(INDEX(F9:F56,MATCH($B$5,$A9:$A56,0))/F57*F165,0))</f>
        <v>1173175.641415528</v>
      </c>
      <c r="G171">
        <f>IF('State Calculations'!G$5&lt;&gt;"",F171*(1+'State Calculations'!G$5),IFERROR(INDEX(G9:G56,MATCH($B$5,$A9:$A56,0))/G57*G165,0))</f>
        <v>1439312.2842250331</v>
      </c>
      <c r="H171">
        <f>IF('State Calculations'!H$5&lt;&gt;"",G171*(1+'State Calculations'!H$5),IFERROR(INDEX(H9:H56,MATCH($B$5,$A9:$A56,0))/H57*H165,0))</f>
        <v>1749264.063085404</v>
      </c>
      <c r="I171">
        <f>IF('State Calculations'!I$5&lt;&gt;"",H171*(1+'State Calculations'!I$5),IFERROR(INDEX(I9:I56,MATCH($B$5,$A9:$A56,0))/I57*I165,0))</f>
        <v>1835427.2131139154</v>
      </c>
      <c r="J171">
        <f>IF('State Calculations'!J$5&lt;&gt;"",I171*(1+'State Calculations'!J$5),IFERROR(INDEX(J9:J56,MATCH($B$5,$A9:$A56,0))/J57*J165,0))</f>
        <v>1922940.4469757893</v>
      </c>
      <c r="K171">
        <f>IF('State Calculations'!K$5&lt;&gt;"",J171*(1+'State Calculations'!K$5),IFERROR(INDEX(K9:K56,MATCH($B$5,$A9:$A56,0))/K57*K165,0))</f>
        <v>2011098.6355723995</v>
      </c>
      <c r="L171">
        <f>IF('State Calculations'!L$5&lt;&gt;"",K171*(1+'State Calculations'!L$5),IFERROR(INDEX(L9:L56,MATCH($B$5,$A9:$A56,0))/L57*L165,0))</f>
        <v>2098993.4915478402</v>
      </c>
      <c r="M171">
        <f>IF('State Calculations'!M$5&lt;&gt;"",L171*(1+'State Calculations'!M$5),IFERROR(INDEX(M9:M56,MATCH($B$5,$A9:$A56,0))/M57*M165,0))</f>
        <v>2185477.4403561181</v>
      </c>
      <c r="N171">
        <f>IF('State Calculations'!N$5&lt;&gt;"",M171*(1+'State Calculations'!N$5),IFERROR(INDEX(N9:N56,MATCH($B$5,$A9:$A56,0))/N57*N165,0))</f>
        <v>2206393.0639310074</v>
      </c>
      <c r="O171">
        <f>IF('State Calculations'!O$5&lt;&gt;"",N171*(1+'State Calculations'!O$5),IFERROR(INDEX(O9:O56,MATCH($B$5,$A9:$A56,0))/O57*O165,0))</f>
        <v>2227025.3416659962</v>
      </c>
      <c r="P171">
        <f>IF('State Calculations'!P$5&lt;&gt;"",O171*(1+'State Calculations'!P$5),IFERROR(INDEX(P9:P56,MATCH($B$5,$A9:$A56,0))/P57*P165,0))</f>
        <v>2247340.2375153471</v>
      </c>
      <c r="Q171">
        <f>IF('State Calculations'!Q$5&lt;&gt;"",P171*(1+'State Calculations'!Q$5),IFERROR(INDEX(Q9:Q56,MATCH($B$5,$A9:$A56,0))/Q57*Q165,0))</f>
        <v>2267302.0120377713</v>
      </c>
      <c r="R171">
        <f>IF('State Calculations'!R$5&lt;&gt;"",Q171*(1+'State Calculations'!R$5),IFERROR(INDEX(R9:R56,MATCH($B$5,$A9:$A56,0))/R57*R165,0))</f>
        <v>2286873.2010474973</v>
      </c>
      <c r="S171">
        <f>IF('State Calculations'!S$5&lt;&gt;"",R171*(1+'State Calculations'!S$5),IFERROR(INDEX(S9:S56,MATCH($B$5,$A9:$A56,0))/S57*S165,0))</f>
        <v>2291658.7114384989</v>
      </c>
      <c r="T171">
        <f>IF('State Calculations'!T$5&lt;&gt;"",S171*(1+'State Calculations'!T$5),IFERROR(INDEX(T9:T56,MATCH($B$5,$A9:$A56,0))/T57*T165,0))</f>
        <v>2296414.7170630307</v>
      </c>
      <c r="U171">
        <f>IF('State Calculations'!U$5&lt;&gt;"",T171*(1+'State Calculations'!U$5),IFERROR(INDEX(U9:U56,MATCH($B$5,$A9:$A56,0))/U57*U165,0))</f>
        <v>2301140.5364573607</v>
      </c>
      <c r="V171">
        <f>IF('State Calculations'!V$5&lt;&gt;"",U171*(1+'State Calculations'!V$5),IFERROR(INDEX(V9:V56,MATCH($B$5,$A9:$A56,0))/V57*V165,0))</f>
        <v>2305835.48075308</v>
      </c>
      <c r="W171">
        <f>IF('State Calculations'!W$5&lt;&gt;"",V171*(1+'State Calculations'!W$5),IFERROR(INDEX(W9:W56,MATCH($B$5,$A9:$A56,0))/W57*W165,0))</f>
        <v>2310498.853687916</v>
      </c>
      <c r="X171">
        <f>IF('State Calculations'!X$5&lt;&gt;"",W171*(1+'State Calculations'!X$5),IFERROR(INDEX(X9:X56,MATCH($B$5,$A9:$A56,0))/X57*X165,0))</f>
        <v>2311656.6228458947</v>
      </c>
      <c r="Y171">
        <f>IF('State Calculations'!Y$5&lt;&gt;"",X171*(1+'State Calculations'!Y$5),IFERROR(INDEX(Y9:Y56,MATCH($B$5,$A9:$A56,0))/Y57*Y165,0))</f>
        <v>2312812.3283696542</v>
      </c>
      <c r="Z171">
        <f>IF('State Calculations'!Z$5&lt;&gt;"",Y171*(1+'State Calculations'!Z$5),IFERROR(INDEX(Z9:Z56,MATCH($B$5,$A9:$A56,0))/Z57*Z165,0))</f>
        <v>2313965.9589686063</v>
      </c>
      <c r="AA171">
        <f>IF('State Calculations'!AA$5&lt;&gt;"",Z171*(1+'State Calculations'!AA$5),IFERROR(INDEX(AA9:AA56,MATCH($B$5,$A9:$A56,0))/AA57*AA165,0))</f>
        <v>2315117.5033228109</v>
      </c>
      <c r="AB171">
        <f>IF('State Calculations'!AB$5&lt;&gt;"",AA171*(1+'State Calculations'!AB$5),IFERROR(INDEX(AB9:AB56,MATCH($B$5,$A9:$A56,0))/AB57*AB165,0))</f>
        <v>2316266.9500830034</v>
      </c>
    </row>
    <row r="172" spans="1:29" x14ac:dyDescent="0.45">
      <c r="A172" s="1" t="s">
        <v>262</v>
      </c>
      <c r="B172">
        <f>IF('State Calculations'!B$5&lt;&gt;"",A172*(1+'State Calculations'!B$5),IFERROR(INDEX(B61:B108,MATCH($B$5,$A61:$A108,0))/B109*B166,0))</f>
        <v>490469.24508373986</v>
      </c>
      <c r="C172">
        <f>IF('State Calculations'!C$5&lt;&gt;"",B172*(1+'State Calculations'!C$5),IFERROR(INDEX(C61:C108,MATCH($B$5,$A61:$A108,0))/C109*C166,0))</f>
        <v>702358.25262165652</v>
      </c>
      <c r="D172">
        <f>IF('State Calculations'!D$5&lt;&gt;"",C172*(1+'State Calculations'!D$5),IFERROR(INDEX(D61:D108,MATCH($B$5,$A61:$A108,0))/D109*D166,0))</f>
        <v>999362.43957349169</v>
      </c>
      <c r="E172">
        <f>IF('State Calculations'!E$5&lt;&gt;"",D172*(1+'State Calculations'!E$5),IFERROR(INDEX(E61:E108,MATCH($B$5,$A61:$A108,0))/E109*E166,0))</f>
        <v>1411373.4082978189</v>
      </c>
      <c r="F172">
        <f>IF('State Calculations'!F$5&lt;&gt;"",E172*(1+'State Calculations'!F$5),IFERROR(INDEX(F61:F108,MATCH($B$5,$A61:$A108,0))/F109*F166,0))</f>
        <v>1975405.1889405828</v>
      </c>
      <c r="G172">
        <f>IF('State Calculations'!G$5&lt;&gt;"",F172*(1+'State Calculations'!G$5),IFERROR(INDEX(G61:G108,MATCH($B$5,$A61:$A108,0))/G109*G166,0))</f>
        <v>2734124.675728952</v>
      </c>
      <c r="H172">
        <f>IF('State Calculations'!H$5&lt;&gt;"",G172*(1+'State Calculations'!H$5),IFERROR(INDEX(H61:H108,MATCH($B$5,$A61:$A108,0))/H109*H166,0))</f>
        <v>3730479.1412386959</v>
      </c>
      <c r="I172">
        <f>IF('State Calculations'!I$5&lt;&gt;"",H172*(1+'State Calculations'!I$5),IFERROR(INDEX(I61:I108,MATCH($B$5,$A61:$A108,0))/I109*I166,0))</f>
        <v>4046404.6190050039</v>
      </c>
      <c r="J172">
        <f>IF('State Calculations'!J$5&lt;&gt;"",I172*(1+'State Calculations'!J$5),IFERROR(INDEX(J61:J108,MATCH($B$5,$A61:$A108,0))/J109*J166,0))</f>
        <v>4379884.5156261809</v>
      </c>
      <c r="K172">
        <f>IF('State Calculations'!K$5&lt;&gt;"",J172*(1+'State Calculations'!K$5),IFERROR(INDEX(K61:K108,MATCH($B$5,$A61:$A108,0))/K109*K166,0))</f>
        <v>4729746.4431263236</v>
      </c>
      <c r="L172">
        <f>IF('State Calculations'!L$5&lt;&gt;"",K172*(1+'State Calculations'!L$5),IFERROR(INDEX(L61:L108,MATCH($B$5,$A61:$A108,0))/L109*L166,0))</f>
        <v>5094174.5814740965</v>
      </c>
      <c r="M172">
        <f>IF('State Calculations'!M$5&lt;&gt;"",L172*(1+'State Calculations'!M$5),IFERROR(INDEX(M61:M108,MATCH($B$5,$A61:$A108,0))/M109*M166,0))</f>
        <v>5470586.6625002259</v>
      </c>
      <c r="N172">
        <f>IF('State Calculations'!N$5&lt;&gt;"",M172*(1+'State Calculations'!N$5),IFERROR(INDEX(N61:N108,MATCH($B$5,$A61:$A108,0))/N109*N166,0))</f>
        <v>5567022.7335790042</v>
      </c>
      <c r="O172">
        <f>IF('State Calculations'!O$5&lt;&gt;"",N172*(1+'State Calculations'!O$5),IFERROR(INDEX(O61:O108,MATCH($B$5,$A61:$A108,0))/O109*O166,0))</f>
        <v>5663719.3552672947</v>
      </c>
      <c r="P172">
        <f>IF('State Calculations'!P$5&lt;&gt;"",O172*(1+'State Calculations'!P$5),IFERROR(INDEX(P61:P108,MATCH($B$5,$A61:$A108,0))/P109*P166,0))</f>
        <v>5760582.6891256841</v>
      </c>
      <c r="Q172">
        <f>IF('State Calculations'!Q$5&lt;&gt;"",P172*(1+'State Calculations'!Q$5),IFERROR(INDEX(Q61:Q108,MATCH($B$5,$A61:$A108,0))/Q109*Q166,0))</f>
        <v>5857513.1021539643</v>
      </c>
      <c r="R172">
        <f>IF('State Calculations'!R$5&lt;&gt;"",Q172*(1+'State Calculations'!R$5),IFERROR(INDEX(R61:R108,MATCH($B$5,$A61:$A108,0))/R109*R166,0))</f>
        <v>5954405.0514441011</v>
      </c>
      <c r="S172">
        <f>IF('State Calculations'!S$5&lt;&gt;"",R172*(1+'State Calculations'!S$5),IFERROR(INDEX(S61:S108,MATCH($B$5,$A61:$A108,0))/S109*S166,0))</f>
        <v>5978604.4990530573</v>
      </c>
      <c r="T172">
        <f>IF('State Calculations'!T$5&lt;&gt;"",S172*(1+'State Calculations'!T$5),IFERROR(INDEX(T61:T108,MATCH($B$5,$A61:$A108,0))/T109*T166,0))</f>
        <v>6002786.9692527251</v>
      </c>
      <c r="U172">
        <f>IF('State Calculations'!U$5&lt;&gt;"",T172*(1+'State Calculations'!U$5),IFERROR(INDEX(U61:U108,MATCH($B$5,$A61:$A108,0))/U109*U166,0))</f>
        <v>6026950.4786969405</v>
      </c>
      <c r="V172">
        <f>IF('State Calculations'!V$5&lt;&gt;"",U172*(1+'State Calculations'!V$5),IFERROR(INDEX(V61:V108,MATCH($B$5,$A61:$A108,0))/V109*V166,0))</f>
        <v>6051093.017855634</v>
      </c>
      <c r="W172">
        <f>IF('State Calculations'!W$5&lt;&gt;"",V172*(1+'State Calculations'!W$5),IFERROR(INDEX(W61:W108,MATCH($B$5,$A61:$A108,0))/W109*W166,0))</f>
        <v>6075212.5509663094</v>
      </c>
      <c r="X172">
        <f>IF('State Calculations'!X$5&lt;&gt;"",W172*(1+'State Calculations'!X$5),IFERROR(INDEX(X61:X108,MATCH($B$5,$A61:$A108,0))/X109*X166,0))</f>
        <v>6081237.0078736208</v>
      </c>
      <c r="Y172">
        <f>IF('State Calculations'!Y$5&lt;&gt;"",X172*(1+'State Calculations'!Y$5),IFERROR(INDEX(Y61:Y108,MATCH($B$5,$A61:$A108,0))/Y109*Y166,0))</f>
        <v>6087259.7612139815</v>
      </c>
      <c r="Z172">
        <f>IF('State Calculations'!Z$5&lt;&gt;"",Y172*(1+'State Calculations'!Z$5),IFERROR(INDEX(Z61:Z108,MATCH($B$5,$A61:$A108,0))/Z109*Z166,0))</f>
        <v>6093280.7777210558</v>
      </c>
      <c r="AA172">
        <f>IF('State Calculations'!AA$5&lt;&gt;"",Z172*(1+'State Calculations'!AA$5),IFERROR(INDEX(AA61:AA108,MATCH($B$5,$A61:$A108,0))/AA109*AA166,0))</f>
        <v>6099300.0240232525</v>
      </c>
      <c r="AB172">
        <f>IF('State Calculations'!AB$5&lt;&gt;"",AA172*(1+'State Calculations'!AB$5),IFERROR(INDEX(AB61:AB108,MATCH($B$5,$A61:$A108,0))/AB109*AB166,0))</f>
        <v>6105317.4666436948</v>
      </c>
    </row>
    <row r="173" spans="1:29" x14ac:dyDescent="0.45">
      <c r="A173" s="1" t="s">
        <v>263</v>
      </c>
      <c r="B173">
        <f>IF('State Calculations'!B$5&lt;&gt;"",A173*(1+'State Calculations'!B$5),IFERROR(INDEX(B113:B160,MATCH($B$5,$A113:$A160,0))/B161*B167,0))</f>
        <v>490469.24508373986</v>
      </c>
      <c r="C173">
        <f>IF('State Calculations'!C$5&lt;&gt;"",B173*(1+'State Calculations'!C$5),IFERROR(INDEX(C113:C160,MATCH($B$5,$A113:$A160,0))/C161*C167,0))</f>
        <v>766132.29888713779</v>
      </c>
      <c r="D173">
        <f>IF('State Calculations'!D$5&lt;&gt;"",C173*(1+'State Calculations'!D$5),IFERROR(INDEX(D113:D160,MATCH($B$5,$A113:$A160,0))/D161*D167,0))</f>
        <v>1187788.2136017468</v>
      </c>
      <c r="E173">
        <f>IF('State Calculations'!E$5&lt;&gt;"",D173*(1+'State Calculations'!E$5),IFERROR(INDEX(E113:E160,MATCH($B$5,$A113:$A160,0))/E161*E167,0))</f>
        <v>1825857.0445348762</v>
      </c>
      <c r="F173">
        <f>IF('State Calculations'!F$5&lt;&gt;"",E173*(1+'State Calculations'!F$5),IFERROR(INDEX(F113:F160,MATCH($B$5,$A113:$A160,0))/F161*F167,0))</f>
        <v>2778620.1282799304</v>
      </c>
      <c r="G173">
        <f>IF('State Calculations'!G$5&lt;&gt;"",F173*(1+'State Calculations'!G$5),IFERROR(INDEX(G113:G160,MATCH($B$5,$A113:$A160,0))/G161*G167,0))</f>
        <v>4177032.2168105706</v>
      </c>
      <c r="H173">
        <f>IF('State Calculations'!H$5&lt;&gt;"",G173*(1+'State Calculations'!H$5),IFERROR(INDEX(H113:H160,MATCH($B$5,$A113:$A160,0))/H161*H167,0))</f>
        <v>6182967.5140390042</v>
      </c>
      <c r="I173">
        <f>IF('State Calculations'!I$5&lt;&gt;"",H173*(1+'State Calculations'!I$5),IFERROR(INDEX(I113:I160,MATCH($B$5,$A113:$A160,0))/I161*I167,0))</f>
        <v>6881375.9477237491</v>
      </c>
      <c r="J173">
        <f>IF('State Calculations'!J$5&lt;&gt;"",I173*(1+'State Calculations'!J$5),IFERROR(INDEX(J113:J160,MATCH($B$5,$A113:$A160,0))/J161*J167,0))</f>
        <v>7640389.1617565863</v>
      </c>
      <c r="K173">
        <f>IF('State Calculations'!K$5&lt;&gt;"",J173*(1+'State Calculations'!K$5),IFERROR(INDEX(K113:K160,MATCH($B$5,$A113:$A160,0))/K161*K167,0))</f>
        <v>8460498.2204680126</v>
      </c>
      <c r="L173">
        <f>IF('State Calculations'!L$5&lt;&gt;"",K173*(1+'State Calculations'!L$5),IFERROR(INDEX(L113:L160,MATCH($B$5,$A113:$A160,0))/L161*L167,0))</f>
        <v>9340686.0106490217</v>
      </c>
      <c r="M173">
        <f>IF('State Calculations'!M$5&lt;&gt;"",L173*(1+'State Calculations'!M$5),IFERROR(INDEX(M113:M160,MATCH($B$5,$A113:$A160,0))/M161*M167,0))</f>
        <v>10277996.259884216</v>
      </c>
      <c r="N173">
        <f>IF('State Calculations'!N$5&lt;&gt;"",M173*(1+'State Calculations'!N$5),IFERROR(INDEX(N113:N160,MATCH($B$5,$A113:$A160,0))/N161*N167,0))</f>
        <v>10526162.446564114</v>
      </c>
      <c r="O173">
        <f>IF('State Calculations'!O$5&lt;&gt;"",N173*(1+'State Calculations'!O$5),IFERROR(INDEX(O113:O160,MATCH($B$5,$A113:$A160,0))/O161*O167,0))</f>
        <v>10777114.992686223</v>
      </c>
      <c r="P173">
        <f>IF('State Calculations'!P$5&lt;&gt;"",O173*(1+'State Calculations'!P$5),IFERROR(INDEX(P113:P160,MATCH($B$5,$A113:$A160,0))/P161*P167,0))</f>
        <v>11030658.218853218</v>
      </c>
      <c r="Q173">
        <f>IF('State Calculations'!Q$5&lt;&gt;"",P173*(1+'State Calculations'!Q$5),IFERROR(INDEX(Q113:Q160,MATCH($B$5,$A113:$A160,0))/Q161*Q167,0))</f>
        <v>11286578.130298046</v>
      </c>
      <c r="R173">
        <f>IF('State Calculations'!R$5&lt;&gt;"",Q173*(1+'State Calculations'!R$5),IFERROR(INDEX(R113:R160,MATCH($B$5,$A113:$A160,0))/R161*R167,0))</f>
        <v>11544641.765575591</v>
      </c>
      <c r="S173">
        <f>IF('State Calculations'!S$5&lt;&gt;"",R173*(1+'State Calculations'!S$5),IFERROR(INDEX(S113:S160,MATCH($B$5,$A113:$A160,0))/S161*S167,0))</f>
        <v>11609700.867756786</v>
      </c>
      <c r="T173">
        <f>IF('State Calculations'!T$5&lt;&gt;"",S173*(1+'State Calculations'!T$5),IFERROR(INDEX(T113:T160,MATCH($B$5,$A113:$A160,0))/T161*T167,0))</f>
        <v>11674861.441662313</v>
      </c>
      <c r="U173">
        <f>IF('State Calculations'!U$5&lt;&gt;"",T173*(1+'State Calculations'!U$5),IFERROR(INDEX(U113:U160,MATCH($B$5,$A113:$A160,0))/U161*U167,0))</f>
        <v>11740118.782720709</v>
      </c>
      <c r="V173">
        <f>IF('State Calculations'!V$5&lt;&gt;"",U173*(1+'State Calculations'!V$5),IFERROR(INDEX(V113:V160,MATCH($B$5,$A113:$A160,0))/V161*V167,0))</f>
        <v>11805468.097684925</v>
      </c>
      <c r="W173">
        <f>IF('State Calculations'!W$5&lt;&gt;"",V173*(1+'State Calculations'!W$5),IFERROR(INDEX(W113:W160,MATCH($B$5,$A113:$A160,0))/W161*W167,0))</f>
        <v>11870904.504116911</v>
      </c>
      <c r="X173">
        <f>IF('State Calculations'!X$5&lt;&gt;"",W173*(1+'State Calculations'!X$5),IFERROR(INDEX(X113:X160,MATCH($B$5,$A113:$A160,0))/X161*X167,0))</f>
        <v>11887288.666285032</v>
      </c>
      <c r="Y173">
        <f>IF('State Calculations'!Y$5&lt;&gt;"",X173*(1+'State Calculations'!Y$5),IFERROR(INDEX(Y113:Y160,MATCH($B$5,$A113:$A160,0))/Y161*Y167,0))</f>
        <v>11903677.643952278</v>
      </c>
      <c r="Z173">
        <f>IF('State Calculations'!Z$5&lt;&gt;"",Y173*(1+'State Calculations'!Z$5),IFERROR(INDEX(Z113:Z160,MATCH($B$5,$A113:$A160,0))/Z161*Z167,0))</f>
        <v>11920071.356033655</v>
      </c>
      <c r="AA173">
        <f>IF('State Calculations'!AA$5&lt;&gt;"",Z173*(1+'State Calculations'!AA$5),IFERROR(INDEX(AA113:AA160,MATCH($B$5,$A113:$A160,0))/AA161*AA167,0))</f>
        <v>11936469.721081294</v>
      </c>
      <c r="AB173">
        <f>IF('State Calculations'!AB$5&lt;&gt;"",AA173*(1+'State Calculations'!AB$5),IFERROR(INDEX(AB113:AB160,MATCH($B$5,$A113:$A160,0))/AB161*AB167,0))</f>
        <v>11952872.657284036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490469.24508373986</v>
      </c>
      <c r="C2">
        <f>Calcs!C171</f>
        <v>613586.15539185493</v>
      </c>
      <c r="D2">
        <f>Calcs!D171</f>
        <v>764971.70924359607</v>
      </c>
      <c r="E2">
        <f>Calcs!E171</f>
        <v>949782.8833339999</v>
      </c>
      <c r="F2">
        <f>Calcs!F171</f>
        <v>1173175.641415528</v>
      </c>
      <c r="G2">
        <f>Calcs!G171</f>
        <v>1439312.2842250331</v>
      </c>
      <c r="H2">
        <f>Calcs!H171</f>
        <v>1749264.063085404</v>
      </c>
      <c r="I2">
        <f>Calcs!I171</f>
        <v>1835427.2131139154</v>
      </c>
      <c r="J2">
        <f>Calcs!J171</f>
        <v>1922940.4469757893</v>
      </c>
      <c r="K2">
        <f>Calcs!K171</f>
        <v>2011098.6355723995</v>
      </c>
      <c r="L2">
        <f>Calcs!L171</f>
        <v>2098993.4915478402</v>
      </c>
      <c r="M2">
        <f>Calcs!M171</f>
        <v>2185477.4403561181</v>
      </c>
      <c r="N2">
        <f>Calcs!N171</f>
        <v>2206393.0639310074</v>
      </c>
      <c r="O2">
        <f>Calcs!O171</f>
        <v>2227025.3416659962</v>
      </c>
      <c r="P2">
        <f>Calcs!P171</f>
        <v>2247340.2375153471</v>
      </c>
      <c r="Q2">
        <f>Calcs!Q171</f>
        <v>2267302.0120377713</v>
      </c>
      <c r="R2">
        <f>Calcs!R171</f>
        <v>2286873.2010474973</v>
      </c>
      <c r="S2">
        <f>Calcs!S171</f>
        <v>2291658.7114384989</v>
      </c>
      <c r="T2">
        <f>Calcs!T171</f>
        <v>2296414.7170630307</v>
      </c>
      <c r="U2">
        <f>Calcs!U171</f>
        <v>2301140.5364573607</v>
      </c>
      <c r="V2">
        <f>Calcs!V171</f>
        <v>2305835.48075308</v>
      </c>
      <c r="W2">
        <f>Calcs!W171</f>
        <v>2310498.853687916</v>
      </c>
      <c r="X2">
        <f>Calcs!X171</f>
        <v>2311656.6228458947</v>
      </c>
      <c r="Y2">
        <f>Calcs!Y171</f>
        <v>2312812.3283696542</v>
      </c>
      <c r="Z2">
        <f>Calcs!Z171</f>
        <v>2313965.9589686063</v>
      </c>
      <c r="AA2">
        <f>Calcs!AA171</f>
        <v>2315117.5033228109</v>
      </c>
      <c r="AB2">
        <f>Calcs!AB171</f>
        <v>2316266.9500830034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490469.24508373986</v>
      </c>
      <c r="C2">
        <f>Calcs!C172</f>
        <v>702358.25262165652</v>
      </c>
      <c r="D2">
        <f>Calcs!D172</f>
        <v>999362.43957349169</v>
      </c>
      <c r="E2">
        <f>Calcs!E172</f>
        <v>1411373.4082978189</v>
      </c>
      <c r="F2">
        <f>Calcs!F172</f>
        <v>1975405.1889405828</v>
      </c>
      <c r="G2">
        <f>Calcs!G172</f>
        <v>2734124.675728952</v>
      </c>
      <c r="H2">
        <f>Calcs!H172</f>
        <v>3730479.1412386959</v>
      </c>
      <c r="I2">
        <f>Calcs!I172</f>
        <v>4046404.6190050039</v>
      </c>
      <c r="J2">
        <f>Calcs!J172</f>
        <v>4379884.5156261809</v>
      </c>
      <c r="K2">
        <f>Calcs!K172</f>
        <v>4729746.4431263236</v>
      </c>
      <c r="L2">
        <f>Calcs!L172</f>
        <v>5094174.5814740965</v>
      </c>
      <c r="M2">
        <f>Calcs!M172</f>
        <v>5470586.6625002259</v>
      </c>
      <c r="N2">
        <f>Calcs!N172</f>
        <v>5567022.7335790042</v>
      </c>
      <c r="O2">
        <f>Calcs!O172</f>
        <v>5663719.3552672947</v>
      </c>
      <c r="P2">
        <f>Calcs!P172</f>
        <v>5760582.6891256841</v>
      </c>
      <c r="Q2">
        <f>Calcs!Q172</f>
        <v>5857513.1021539643</v>
      </c>
      <c r="R2">
        <f>Calcs!R172</f>
        <v>5954405.0514441011</v>
      </c>
      <c r="S2">
        <f>Calcs!S172</f>
        <v>5978604.4990530573</v>
      </c>
      <c r="T2">
        <f>Calcs!T172</f>
        <v>6002786.9692527251</v>
      </c>
      <c r="U2">
        <f>Calcs!U172</f>
        <v>6026950.4786969405</v>
      </c>
      <c r="V2">
        <f>Calcs!V172</f>
        <v>6051093.017855634</v>
      </c>
      <c r="W2">
        <f>Calcs!W172</f>
        <v>6075212.5509663094</v>
      </c>
      <c r="X2">
        <f>Calcs!X172</f>
        <v>6081237.0078736208</v>
      </c>
      <c r="Y2">
        <f>Calcs!Y172</f>
        <v>6087259.7612139815</v>
      </c>
      <c r="Z2">
        <f>Calcs!Z172</f>
        <v>6093280.7777210558</v>
      </c>
      <c r="AA2">
        <f>Calcs!AA172</f>
        <v>6099300.0240232525</v>
      </c>
      <c r="AB2">
        <f>Calcs!AB172</f>
        <v>6105317.4666436948</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490469.24508373986</v>
      </c>
      <c r="C2">
        <f>Calcs!C173</f>
        <v>766132.29888713779</v>
      </c>
      <c r="D2">
        <f>Calcs!D173</f>
        <v>1187788.2136017468</v>
      </c>
      <c r="E2">
        <f>Calcs!E173</f>
        <v>1825857.0445348762</v>
      </c>
      <c r="F2">
        <f>Calcs!F173</f>
        <v>2778620.1282799304</v>
      </c>
      <c r="G2">
        <f>Calcs!G173</f>
        <v>4177032.2168105706</v>
      </c>
      <c r="H2">
        <f>Calcs!H173</f>
        <v>6182967.5140390042</v>
      </c>
      <c r="I2">
        <f>Calcs!I173</f>
        <v>6881375.9477237491</v>
      </c>
      <c r="J2">
        <f>Calcs!J173</f>
        <v>7640389.1617565863</v>
      </c>
      <c r="K2">
        <f>Calcs!K173</f>
        <v>8460498.2204680126</v>
      </c>
      <c r="L2">
        <f>Calcs!L173</f>
        <v>9340686.0106490217</v>
      </c>
      <c r="M2">
        <f>Calcs!M173</f>
        <v>10277996.259884216</v>
      </c>
      <c r="N2">
        <f>Calcs!N173</f>
        <v>10526162.446564114</v>
      </c>
      <c r="O2">
        <f>Calcs!O173</f>
        <v>10777114.992686223</v>
      </c>
      <c r="P2">
        <f>Calcs!P173</f>
        <v>11030658.218853218</v>
      </c>
      <c r="Q2">
        <f>Calcs!Q173</f>
        <v>11286578.130298046</v>
      </c>
      <c r="R2">
        <f>Calcs!R173</f>
        <v>11544641.765575591</v>
      </c>
      <c r="S2">
        <f>Calcs!S173</f>
        <v>11609700.867756786</v>
      </c>
      <c r="T2">
        <f>Calcs!T173</f>
        <v>11674861.441662313</v>
      </c>
      <c r="U2">
        <f>Calcs!U173</f>
        <v>11740118.782720709</v>
      </c>
      <c r="V2">
        <f>Calcs!V173</f>
        <v>11805468.097684925</v>
      </c>
      <c r="W2">
        <f>Calcs!W173</f>
        <v>11870904.504116911</v>
      </c>
      <c r="X2">
        <f>Calcs!X173</f>
        <v>11887288.666285032</v>
      </c>
      <c r="Y2">
        <f>Calcs!Y173</f>
        <v>11903677.643952278</v>
      </c>
      <c r="Z2">
        <f>Calcs!Z173</f>
        <v>11920071.356033655</v>
      </c>
      <c r="AA2">
        <f>Calcs!AA173</f>
        <v>11936469.721081294</v>
      </c>
      <c r="AB2">
        <f>Calcs!AB173</f>
        <v>11952872.657284036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2026-09-01T22:21:41Z</dcterms:modified>
</cp:coreProperties>
</file>