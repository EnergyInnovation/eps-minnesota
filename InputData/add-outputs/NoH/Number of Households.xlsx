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N\add-outputs\NoH\"/>
    </mc:Choice>
  </mc:AlternateContent>
  <xr:revisionPtr revIDLastSave="0" documentId="8_{09DDD285-46A7-4A63-A2B9-7FE7694B67DC}"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D2" i="3"/>
  <c r="Z2" i="3"/>
  <c r="R2" i="3"/>
  <c r="E2" i="3"/>
  <c r="AA2" i="3"/>
  <c r="T2" i="3"/>
  <c r="W2" i="3"/>
  <c r="F2" i="3"/>
  <c r="AB2" i="3"/>
  <c r="P2" i="3"/>
  <c r="G2" i="3"/>
  <c r="AC2" i="3"/>
  <c r="Q2" i="3"/>
  <c r="V2" i="3"/>
  <c r="H2" i="3"/>
  <c r="AD2" i="3"/>
  <c r="I2" i="3"/>
  <c r="AE2" i="3"/>
  <c r="N2" i="3"/>
  <c r="J2" i="3"/>
  <c r="B2" i="3"/>
  <c r="K2" i="3"/>
  <c r="X2" i="3"/>
  <c r="L2" i="3"/>
  <c r="M2" i="3"/>
  <c r="U2" i="3"/>
  <c r="O2" i="3"/>
  <c r="S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<sst xmlns="http://schemas.openxmlformats.org/spreadsheetml/2006/main" count="1069" uniqueCount="448">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</sst>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370</v>
      </c>
      <c r="C1" s="68">
        <v>46185</v>
      </c>
      <c r="H1" t="s">
        <v>324</v>
      </c>
      <c r="I1" t="s">
        <v>325</v>
      </c>
    </row>
    <row r="2" spans="1:9" x14ac:dyDescent="0.25">
      <c r="B2" t="str">
        <f>VLOOKUP(B1,H2:I52,2)</f>
        <v>MN</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2202800.6504175789</v>
      </c>
      <c r="C2">
        <f>SUMIFS('state calcs'!C62:C112,'state calcs'!$A$62:$A$112,About!$B$2)</f>
        <v>2237436.5310881212</v>
      </c>
      <c r="D2">
        <f>SUMIFS('state calcs'!D62:D112,'state calcs'!$A$62:$A$112,About!$B$2)</f>
        <v>2258848.0516466219</v>
      </c>
      <c r="E2">
        <f>SUMIFS('state calcs'!E62:E112,'state calcs'!$A$62:$A$112,About!$B$2)</f>
        <v>2280298.8678391972</v>
      </c>
      <c r="F2">
        <f>SUMIFS('state calcs'!F62:F112,'state calcs'!$A$62:$A$112,About!$B$2)</f>
        <v>2302227.6376475058</v>
      </c>
      <c r="G2">
        <f>SUMIFS('state calcs'!G62:G112,'state calcs'!$A$62:$A$112,About!$B$2)</f>
        <v>2324098.2271243325</v>
      </c>
      <c r="H2">
        <f>SUMIFS('state calcs'!H62:H112,'state calcs'!$A$62:$A$112,About!$B$2)</f>
        <v>2346076.7234214409</v>
      </c>
      <c r="I2">
        <f>SUMIFS('state calcs'!I62:I112,'state calcs'!$A$62:$A$112,About!$B$2)</f>
        <v>2368206.3739516027</v>
      </c>
      <c r="J2">
        <f>SUMIFS('state calcs'!J62:J112,'state calcs'!$A$62:$A$112,About!$B$2)</f>
        <v>2390171.5521729239</v>
      </c>
      <c r="K2">
        <f>SUMIFS('state calcs'!K62:K112,'state calcs'!$A$62:$A$112,About!$B$2)</f>
        <v>2411588.6630450333</v>
      </c>
      <c r="L2">
        <f>SUMIFS('state calcs'!L62:L112,'state calcs'!$A$62:$A$112,About!$B$2)</f>
        <v>2432141.5936704348</v>
      </c>
      <c r="M2">
        <f>SUMIFS('state calcs'!M62:M112,'state calcs'!$A$62:$A$112,About!$B$2)</f>
        <v>2452540.7578462553</v>
      </c>
      <c r="N2">
        <f>SUMIFS('state calcs'!N62:N112,'state calcs'!$A$62:$A$112,About!$B$2)</f>
        <v>2472493.3530149106</v>
      </c>
      <c r="O2">
        <f>SUMIFS('state calcs'!O62:O112,'state calcs'!$A$62:$A$112,About!$B$2)</f>
        <v>2491818.517146524</v>
      </c>
      <c r="P2">
        <f>SUMIFS('state calcs'!P62:P112,'state calcs'!$A$62:$A$112,About!$B$2)</f>
        <v>2510875.9976457697</v>
      </c>
      <c r="Q2">
        <f>SUMIFS('state calcs'!Q62:Q112,'state calcs'!$A$62:$A$112,About!$B$2)</f>
        <v>2529957.6370208715</v>
      </c>
      <c r="R2">
        <f>SUMIFS('state calcs'!R62:R112,'state calcs'!$A$62:$A$112,About!$B$2)</f>
        <v>2548913.263934182</v>
      </c>
      <c r="S2">
        <f>SUMIFS('state calcs'!S62:S112,'state calcs'!$A$62:$A$112,About!$B$2)</f>
        <v>2567785.3404071373</v>
      </c>
      <c r="T2">
        <f>SUMIFS('state calcs'!T62:T112,'state calcs'!$A$62:$A$112,About!$B$2)</f>
        <v>2586515.2988327229</v>
      </c>
      <c r="U2">
        <f>SUMIFS('state calcs'!U62:U112,'state calcs'!$A$62:$A$112,About!$B$2)</f>
        <v>2605455.5776809473</v>
      </c>
      <c r="V2">
        <f>SUMIFS('state calcs'!V62:V112,'state calcs'!$A$62:$A$112,About!$B$2)</f>
        <v>2623798.1517324969</v>
      </c>
      <c r="W2">
        <f>SUMIFS('state calcs'!W62:W112,'state calcs'!$A$62:$A$112,About!$B$2)</f>
        <v>2641845.4952979214</v>
      </c>
      <c r="X2">
        <f>SUMIFS('state calcs'!X62:X112,'state calcs'!$A$62:$A$112,About!$B$2)</f>
        <v>2659740.3786189933</v>
      </c>
      <c r="Y2">
        <f>SUMIFS('state calcs'!Y62:Y112,'state calcs'!$A$62:$A$112,About!$B$2)</f>
        <v>2677496.714674246</v>
      </c>
      <c r="Z2">
        <f>SUMIFS('state calcs'!Z62:Z112,'state calcs'!$A$62:$A$112,About!$B$2)</f>
        <v>2695133.8734653974</v>
      </c>
      <c r="AA2">
        <f>SUMIFS('state calcs'!AA62:AA112,'state calcs'!$A$62:$A$112,About!$B$2)</f>
        <v>2712584.3604585165</v>
      </c>
      <c r="AB2">
        <f>SUMIFS('state calcs'!AB62:AB112,'state calcs'!$A$62:$A$112,About!$B$2)</f>
        <v>2729962.8788321661</v>
      </c>
      <c r="AC2">
        <f>SUMIFS('state calcs'!AC62:AC112,'state calcs'!$A$62:$A$112,About!$B$2)</f>
        <v>2747141.6553778085</v>
      </c>
      <c r="AD2">
        <f>SUMIFS('state calcs'!AD62:AD112,'state calcs'!$A$62:$A$112,About!$B$2)</f>
        <v>2764102.0463769501</v>
      </c>
      <c r="AE2">
        <f>SUMIFS('state calcs'!AE62:AE112,'state calcs'!$A$62:$A$112,About!$B$2)</f>
        <v>2780898.7000391446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2026-06-12T19:28:58Z</dcterms:modified>
</cp:coreProperties>
</file>