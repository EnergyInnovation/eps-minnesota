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N\add-outputs\HOIpTP\"/>
    </mc:Choice>
  </mc:AlternateContent>
  <xr:revisionPtr revIDLastSave="0" documentId="8_{953F398D-9FC0-4D57-8520-204EFEBF042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B13" i="19"/>
  <c r="J13" i="19" s="1"/>
  <c r="U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U7" i="19"/>
  <c r="B7" i="19"/>
  <c r="AA7" i="19" s="1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Q3" i="19"/>
  <c r="J3" i="19"/>
  <c r="F3" i="19"/>
  <c r="E3" i="19"/>
  <c r="B3" i="19"/>
  <c r="O3" i="19" s="1"/>
  <c r="AB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T17" i="18"/>
  <c r="R17" i="18"/>
  <c r="Q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Y14" i="18"/>
  <c r="R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Q8" i="18"/>
  <c r="M8" i="18"/>
  <c r="F8" i="18"/>
  <c r="E8" i="18"/>
  <c r="B8" i="18"/>
  <c r="W8" i="18" s="1"/>
  <c r="AB7" i="18"/>
  <c r="AA7" i="18"/>
  <c r="H7" i="18"/>
  <c r="D7" i="18"/>
  <c r="C7" i="18"/>
  <c r="B7" i="18"/>
  <c r="G7" i="18" s="1"/>
  <c r="B6" i="18"/>
  <c r="X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E3" i="18" s="1"/>
  <c r="D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Q17" i="17"/>
  <c r="E17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C13" i="17"/>
  <c r="B13" i="17"/>
  <c r="U13" i="17" s="1"/>
  <c r="Y12" i="17"/>
  <c r="T12" i="17"/>
  <c r="S12" i="17"/>
  <c r="P12" i="17"/>
  <c r="O12" i="17"/>
  <c r="M12" i="17"/>
  <c r="J12" i="17"/>
  <c r="H12" i="17"/>
  <c r="G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Z7" i="17"/>
  <c r="Y7" i="17"/>
  <c r="X7" i="17"/>
  <c r="W7" i="17"/>
  <c r="U7" i="17"/>
  <c r="T7" i="17"/>
  <c r="O7" i="17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Y17" i="16"/>
  <c r="V17" i="16"/>
  <c r="U17" i="16"/>
  <c r="R17" i="16"/>
  <c r="H17" i="16"/>
  <c r="G17" i="16"/>
  <c r="B17" i="16"/>
  <c r="J17" i="16" s="1"/>
  <c r="B16" i="16"/>
  <c r="AA15" i="16"/>
  <c r="K15" i="16"/>
  <c r="B15" i="16"/>
  <c r="Y15" i="16" s="1"/>
  <c r="G14" i="16"/>
  <c r="F14" i="16"/>
  <c r="B14" i="16"/>
  <c r="AB14" i="16" s="1"/>
  <c r="X13" i="16"/>
  <c r="W13" i="16"/>
  <c r="J13" i="16"/>
  <c r="D13" i="16"/>
  <c r="B13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S7" i="16"/>
  <c r="R7" i="16"/>
  <c r="M7" i="16"/>
  <c r="L7" i="16"/>
  <c r="H7" i="16"/>
  <c r="G7" i="16"/>
  <c r="D7" i="16"/>
  <c r="C7" i="16"/>
  <c r="B7" i="16"/>
  <c r="L6" i="16"/>
  <c r="H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T15" i="15"/>
  <c r="S15" i="15"/>
  <c r="K15" i="15"/>
  <c r="I15" i="15"/>
  <c r="E15" i="15"/>
  <c r="C15" i="15"/>
  <c r="B15" i="15"/>
  <c r="G15" i="15" s="1"/>
  <c r="B14" i="15"/>
  <c r="AB13" i="15"/>
  <c r="W13" i="15"/>
  <c r="V13" i="15"/>
  <c r="Q13" i="15"/>
  <c r="N13" i="15"/>
  <c r="L13" i="15"/>
  <c r="K13" i="15"/>
  <c r="B13" i="15"/>
  <c r="R13" i="15" s="1"/>
  <c r="W12" i="15"/>
  <c r="M12" i="15"/>
  <c r="L12" i="15"/>
  <c r="K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Y8" i="15"/>
  <c r="X8" i="15"/>
  <c r="R8" i="15"/>
  <c r="O8" i="15"/>
  <c r="L8" i="15"/>
  <c r="K8" i="15"/>
  <c r="J8" i="15"/>
  <c r="H8" i="15"/>
  <c r="F8" i="15"/>
  <c r="E8" i="15"/>
  <c r="D8" i="15"/>
  <c r="C8" i="15"/>
  <c r="B8" i="15"/>
  <c r="G8" i="15" s="1"/>
  <c r="AB7" i="15"/>
  <c r="AA7" i="15"/>
  <c r="W7" i="15"/>
  <c r="V7" i="15"/>
  <c r="S7" i="15"/>
  <c r="R7" i="15"/>
  <c r="O7" i="15"/>
  <c r="N7" i="15"/>
  <c r="M7" i="15"/>
  <c r="L7" i="15"/>
  <c r="J7" i="15"/>
  <c r="I7" i="15"/>
  <c r="H7" i="15"/>
  <c r="G7" i="15"/>
  <c r="F7" i="15"/>
  <c r="E7" i="15"/>
  <c r="D7" i="15"/>
  <c r="B7" i="15"/>
  <c r="X7" i="15" s="1"/>
  <c r="AB6" i="15"/>
  <c r="AA6" i="15"/>
  <c r="V6" i="15"/>
  <c r="U6" i="15"/>
  <c r="R6" i="15"/>
  <c r="Q6" i="15"/>
  <c r="P6" i="15"/>
  <c r="O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Z3" i="15"/>
  <c r="G3" i="15"/>
  <c r="B3" i="15"/>
  <c r="AB2" i="15"/>
  <c r="AA2" i="15"/>
  <c r="Z2" i="15"/>
  <c r="Y2" i="15"/>
  <c r="S2" i="15"/>
  <c r="R2" i="15"/>
  <c r="O2" i="15"/>
  <c r="N2" i="15"/>
  <c r="M2" i="15"/>
  <c r="F2" i="15"/>
  <c r="D2" i="15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S15" i="14"/>
  <c r="R15" i="14"/>
  <c r="J15" i="14"/>
  <c r="B15" i="14"/>
  <c r="Y15" i="14" s="1"/>
  <c r="AB14" i="14"/>
  <c r="S14" i="14"/>
  <c r="R14" i="14"/>
  <c r="B14" i="14"/>
  <c r="Y14" i="14" s="1"/>
  <c r="X13" i="14"/>
  <c r="S13" i="14"/>
  <c r="R13" i="14"/>
  <c r="Q13" i="14"/>
  <c r="N13" i="14"/>
  <c r="B13" i="14"/>
  <c r="AB13" i="14" s="1"/>
  <c r="E12" i="14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X7" i="14"/>
  <c r="W7" i="14"/>
  <c r="V7" i="14"/>
  <c r="S7" i="14"/>
  <c r="R7" i="14"/>
  <c r="P7" i="14"/>
  <c r="O7" i="14"/>
  <c r="M7" i="14"/>
  <c r="K7" i="14"/>
  <c r="I7" i="14"/>
  <c r="H7" i="14"/>
  <c r="C7" i="14"/>
  <c r="B7" i="14"/>
  <c r="AA6" i="14"/>
  <c r="X6" i="14"/>
  <c r="W6" i="14"/>
  <c r="T6" i="14"/>
  <c r="S6" i="14"/>
  <c r="R6" i="14"/>
  <c r="Q6" i="14"/>
  <c r="P6" i="14"/>
  <c r="O6" i="14"/>
  <c r="N6" i="14"/>
  <c r="M6" i="14"/>
  <c r="L6" i="14"/>
  <c r="K6" i="14"/>
  <c r="G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Y3" i="14"/>
  <c r="W3" i="14"/>
  <c r="B3" i="14"/>
  <c r="C3" i="14" s="1"/>
  <c r="AB2" i="14"/>
  <c r="AA2" i="14"/>
  <c r="Z2" i="14"/>
  <c r="X2" i="14"/>
  <c r="V2" i="14"/>
  <c r="P2" i="14"/>
  <c r="O2" i="14"/>
  <c r="M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Z15" i="13"/>
  <c r="W15" i="13"/>
  <c r="R15" i="13"/>
  <c r="P15" i="13"/>
  <c r="O15" i="13"/>
  <c r="L15" i="13"/>
  <c r="K15" i="13"/>
  <c r="J15" i="13"/>
  <c r="I15" i="13"/>
  <c r="G15" i="13"/>
  <c r="F15" i="13"/>
  <c r="E15" i="13"/>
  <c r="D15" i="13"/>
  <c r="B15" i="13"/>
  <c r="AA15" i="13" s="1"/>
  <c r="S14" i="13"/>
  <c r="K14" i="13"/>
  <c r="J14" i="13"/>
  <c r="F14" i="13"/>
  <c r="E14" i="13"/>
  <c r="B14" i="13"/>
  <c r="Z13" i="13"/>
  <c r="Y13" i="13"/>
  <c r="X13" i="13"/>
  <c r="V13" i="13"/>
  <c r="U13" i="13"/>
  <c r="Q13" i="13"/>
  <c r="N13" i="13"/>
  <c r="G13" i="13"/>
  <c r="B13" i="13"/>
  <c r="V12" i="13"/>
  <c r="U12" i="13"/>
  <c r="T12" i="13"/>
  <c r="S12" i="13"/>
  <c r="R12" i="13"/>
  <c r="O12" i="13"/>
  <c r="M12" i="13"/>
  <c r="L12" i="13"/>
  <c r="J12" i="13"/>
  <c r="I12" i="13"/>
  <c r="H12" i="13"/>
  <c r="B12" i="13"/>
  <c r="W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M7" i="13"/>
  <c r="F7" i="13"/>
  <c r="E7" i="13"/>
  <c r="D7" i="13"/>
  <c r="C7" i="13"/>
  <c r="B7" i="13"/>
  <c r="AA6" i="13"/>
  <c r="Z6" i="13"/>
  <c r="O6" i="13"/>
  <c r="M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J3" i="13"/>
  <c r="I3" i="13"/>
  <c r="F3" i="13"/>
  <c r="E3" i="13"/>
  <c r="D3" i="13"/>
  <c r="C3" i="13"/>
  <c r="B3" i="13"/>
  <c r="B2" i="13"/>
  <c r="D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T17" i="12"/>
  <c r="O17" i="12"/>
  <c r="G17" i="12"/>
  <c r="B17" i="12"/>
  <c r="AB16" i="12"/>
  <c r="AA16" i="12"/>
  <c r="Z16" i="12"/>
  <c r="J16" i="12"/>
  <c r="C16" i="12"/>
  <c r="B16" i="12"/>
  <c r="S15" i="12"/>
  <c r="R15" i="12"/>
  <c r="Q15" i="12"/>
  <c r="M15" i="12"/>
  <c r="L15" i="12"/>
  <c r="K15" i="12"/>
  <c r="B15" i="12"/>
  <c r="AB15" i="12" s="1"/>
  <c r="L14" i="12"/>
  <c r="K14" i="12"/>
  <c r="B14" i="12"/>
  <c r="B13" i="12"/>
  <c r="AB12" i="12"/>
  <c r="AA12" i="12"/>
  <c r="Z12" i="12"/>
  <c r="H12" i="12"/>
  <c r="C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B8" i="12"/>
  <c r="M8" i="12" s="1"/>
  <c r="AB7" i="12"/>
  <c r="AA7" i="12"/>
  <c r="Z7" i="12"/>
  <c r="Y7" i="12"/>
  <c r="X7" i="12"/>
  <c r="W7" i="12"/>
  <c r="V7" i="12"/>
  <c r="S7" i="12"/>
  <c r="K7" i="12"/>
  <c r="F7" i="12"/>
  <c r="D7" i="12"/>
  <c r="B7" i="12"/>
  <c r="W6" i="12"/>
  <c r="B6" i="12"/>
  <c r="F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B3" i="12"/>
  <c r="G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O17" i="11"/>
  <c r="J17" i="11"/>
  <c r="D17" i="11"/>
  <c r="B17" i="11"/>
  <c r="AB17" i="11" s="1"/>
  <c r="AB16" i="11"/>
  <c r="Y16" i="11"/>
  <c r="W16" i="11"/>
  <c r="V16" i="11"/>
  <c r="D16" i="11"/>
  <c r="B16" i="11"/>
  <c r="AA16" i="11" s="1"/>
  <c r="W15" i="11"/>
  <c r="R15" i="11"/>
  <c r="B15" i="11"/>
  <c r="AB14" i="11"/>
  <c r="AA14" i="11"/>
  <c r="X14" i="11"/>
  <c r="V14" i="11"/>
  <c r="T14" i="11"/>
  <c r="R14" i="11"/>
  <c r="Q14" i="11"/>
  <c r="P14" i="11"/>
  <c r="O14" i="11"/>
  <c r="N14" i="11"/>
  <c r="M14" i="11"/>
  <c r="L14" i="11"/>
  <c r="J14" i="11"/>
  <c r="I14" i="11"/>
  <c r="F14" i="11"/>
  <c r="E14" i="11"/>
  <c r="C14" i="11"/>
  <c r="B14" i="11"/>
  <c r="W14" i="11" s="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AB12" i="11"/>
  <c r="Z12" i="11"/>
  <c r="U12" i="11"/>
  <c r="T12" i="11"/>
  <c r="P12" i="11"/>
  <c r="O12" i="11"/>
  <c r="M12" i="11"/>
  <c r="L12" i="11"/>
  <c r="K12" i="11"/>
  <c r="I12" i="11"/>
  <c r="G12" i="11"/>
  <c r="F12" i="11"/>
  <c r="C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R8" i="11"/>
  <c r="Q8" i="11"/>
  <c r="N8" i="11"/>
  <c r="K8" i="11"/>
  <c r="J8" i="11"/>
  <c r="I8" i="11"/>
  <c r="E8" i="11"/>
  <c r="D8" i="11"/>
  <c r="B8" i="11"/>
  <c r="V7" i="11"/>
  <c r="O7" i="11"/>
  <c r="L7" i="11"/>
  <c r="K7" i="11"/>
  <c r="J7" i="11"/>
  <c r="I7" i="11"/>
  <c r="H7" i="11"/>
  <c r="G7" i="11"/>
  <c r="F7" i="11"/>
  <c r="E7" i="11"/>
  <c r="D7" i="11"/>
  <c r="B7" i="11"/>
  <c r="AB7" i="11" s="1"/>
  <c r="B6" i="11"/>
  <c r="Q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H3" i="11"/>
  <c r="B3" i="11"/>
  <c r="N2" i="11"/>
  <c r="I2" i="11"/>
  <c r="G2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U15" i="10"/>
  <c r="O15" i="10"/>
  <c r="N15" i="10"/>
  <c r="M15" i="10"/>
  <c r="L15" i="10"/>
  <c r="K15" i="10"/>
  <c r="I15" i="10"/>
  <c r="H15" i="10"/>
  <c r="G15" i="10"/>
  <c r="F15" i="10"/>
  <c r="E15" i="10"/>
  <c r="B15" i="10"/>
  <c r="AB15" i="10" s="1"/>
  <c r="T14" i="10"/>
  <c r="O14" i="10"/>
  <c r="N14" i="10"/>
  <c r="M14" i="10"/>
  <c r="L14" i="10"/>
  <c r="K14" i="10"/>
  <c r="J14" i="10"/>
  <c r="I14" i="10"/>
  <c r="G14" i="10"/>
  <c r="F14" i="10"/>
  <c r="C14" i="10"/>
  <c r="B14" i="10"/>
  <c r="Z14" i="10" s="1"/>
  <c r="AA13" i="10"/>
  <c r="Y13" i="10"/>
  <c r="M13" i="10"/>
  <c r="F13" i="10"/>
  <c r="B13" i="10"/>
  <c r="Z13" i="10" s="1"/>
  <c r="B12" i="10"/>
  <c r="AB12" i="10" s="1"/>
  <c r="C11" i="10"/>
  <c r="B11" i="10"/>
  <c r="B10" i="10"/>
  <c r="B9" i="10"/>
  <c r="AB8" i="10"/>
  <c r="K8" i="10"/>
  <c r="I8" i="10"/>
  <c r="G8" i="10"/>
  <c r="B8" i="10"/>
  <c r="B7" i="10"/>
  <c r="X7" i="10" s="1"/>
  <c r="B6" i="10"/>
  <c r="AA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B3" i="10"/>
  <c r="J3" i="10" s="1"/>
  <c r="Y2" i="10"/>
  <c r="X2" i="10"/>
  <c r="U2" i="10"/>
  <c r="P2" i="10"/>
  <c r="L2" i="10"/>
  <c r="K2" i="10"/>
  <c r="J2" i="10"/>
  <c r="H2" i="10"/>
  <c r="G2" i="10"/>
  <c r="F2" i="10"/>
  <c r="D2" i="10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W17" i="9"/>
  <c r="U17" i="9"/>
  <c r="T17" i="9"/>
  <c r="S17" i="9"/>
  <c r="R17" i="9"/>
  <c r="Q17" i="9"/>
  <c r="P17" i="9"/>
  <c r="O17" i="9"/>
  <c r="M17" i="9"/>
  <c r="K17" i="9"/>
  <c r="G17" i="9"/>
  <c r="F17" i="9"/>
  <c r="E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Z14" i="9"/>
  <c r="Y14" i="9"/>
  <c r="W14" i="9"/>
  <c r="V14" i="9"/>
  <c r="U14" i="9"/>
  <c r="T14" i="9"/>
  <c r="S14" i="9"/>
  <c r="R14" i="9"/>
  <c r="Q14" i="9"/>
  <c r="P14" i="9"/>
  <c r="O14" i="9"/>
  <c r="N14" i="9"/>
  <c r="M14" i="9"/>
  <c r="L14" i="9"/>
  <c r="J14" i="9"/>
  <c r="I14" i="9"/>
  <c r="G14" i="9"/>
  <c r="C14" i="9"/>
  <c r="B14" i="9"/>
  <c r="B13" i="9"/>
  <c r="X13" i="9" s="1"/>
  <c r="AA12" i="9"/>
  <c r="Y12" i="9"/>
  <c r="H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B8" i="9"/>
  <c r="AB7" i="9"/>
  <c r="AA7" i="9"/>
  <c r="X7" i="9"/>
  <c r="W7" i="9"/>
  <c r="U7" i="9"/>
  <c r="T7" i="9"/>
  <c r="Q7" i="9"/>
  <c r="P7" i="9"/>
  <c r="M7" i="9"/>
  <c r="G7" i="9"/>
  <c r="B7" i="9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AB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O15" i="8"/>
  <c r="M15" i="8"/>
  <c r="L15" i="8"/>
  <c r="I15" i="8"/>
  <c r="H15" i="8"/>
  <c r="G15" i="8"/>
  <c r="F15" i="8"/>
  <c r="E15" i="8"/>
  <c r="B15" i="8"/>
  <c r="W14" i="8"/>
  <c r="Q14" i="8"/>
  <c r="O14" i="8"/>
  <c r="N14" i="8"/>
  <c r="K14" i="8"/>
  <c r="J14" i="8"/>
  <c r="I14" i="8"/>
  <c r="H14" i="8"/>
  <c r="G14" i="8"/>
  <c r="F14" i="8"/>
  <c r="D14" i="8"/>
  <c r="B14" i="8"/>
  <c r="AA14" i="8" s="1"/>
  <c r="AA13" i="8"/>
  <c r="W13" i="8"/>
  <c r="U13" i="8"/>
  <c r="R13" i="8"/>
  <c r="Q13" i="8"/>
  <c r="N13" i="8"/>
  <c r="M13" i="8"/>
  <c r="L13" i="8"/>
  <c r="K13" i="8"/>
  <c r="J13" i="8"/>
  <c r="I13" i="8"/>
  <c r="H13" i="8"/>
  <c r="G13" i="8"/>
  <c r="F13" i="8"/>
  <c r="E13" i="8"/>
  <c r="C13" i="8"/>
  <c r="B13" i="8"/>
  <c r="AB13" i="8" s="1"/>
  <c r="H12" i="8"/>
  <c r="E12" i="8"/>
  <c r="C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K7" i="8"/>
  <c r="J7" i="8"/>
  <c r="B7" i="8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E3" i="8"/>
  <c r="D3" i="8"/>
  <c r="C3" i="8"/>
  <c r="B3" i="8"/>
  <c r="J3" i="8" s="1"/>
  <c r="Z2" i="8"/>
  <c r="V2" i="8"/>
  <c r="U2" i="8"/>
  <c r="T2" i="8"/>
  <c r="S2" i="8"/>
  <c r="R2" i="8"/>
  <c r="Q2" i="8"/>
  <c r="P2" i="8"/>
  <c r="N2" i="8"/>
  <c r="M2" i="8"/>
  <c r="L2" i="8"/>
  <c r="K2" i="8"/>
  <c r="I2" i="8"/>
  <c r="H2" i="8"/>
  <c r="G2" i="8"/>
  <c r="F2" i="8"/>
  <c r="D2" i="8"/>
  <c r="C2" i="8"/>
  <c r="B2" i="8"/>
  <c r="W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Q17" i="7"/>
  <c r="M17" i="7"/>
  <c r="L17" i="7"/>
  <c r="K17" i="7"/>
  <c r="J17" i="7"/>
  <c r="I17" i="7"/>
  <c r="H17" i="7"/>
  <c r="G17" i="7"/>
  <c r="F17" i="7"/>
  <c r="D17" i="7"/>
  <c r="B17" i="7"/>
  <c r="N16" i="7"/>
  <c r="M16" i="7"/>
  <c r="L16" i="7"/>
  <c r="J16" i="7"/>
  <c r="H16" i="7"/>
  <c r="G16" i="7"/>
  <c r="B16" i="7"/>
  <c r="AA16" i="7" s="1"/>
  <c r="AB15" i="7"/>
  <c r="AA15" i="7"/>
  <c r="Y15" i="7"/>
  <c r="W15" i="7"/>
  <c r="V15" i="7"/>
  <c r="U15" i="7"/>
  <c r="T15" i="7"/>
  <c r="D15" i="7"/>
  <c r="C15" i="7"/>
  <c r="B15" i="7"/>
  <c r="AB14" i="7"/>
  <c r="AA14" i="7"/>
  <c r="Y14" i="7"/>
  <c r="X14" i="7"/>
  <c r="V14" i="7"/>
  <c r="B14" i="7"/>
  <c r="H14" i="7" s="1"/>
  <c r="AB13" i="7"/>
  <c r="AA13" i="7"/>
  <c r="X13" i="7"/>
  <c r="W13" i="7"/>
  <c r="V13" i="7"/>
  <c r="T13" i="7"/>
  <c r="S13" i="7"/>
  <c r="R13" i="7"/>
  <c r="Q13" i="7"/>
  <c r="O13" i="7"/>
  <c r="K13" i="7"/>
  <c r="F13" i="7"/>
  <c r="B13" i="7"/>
  <c r="W12" i="7"/>
  <c r="V12" i="7"/>
  <c r="T12" i="7"/>
  <c r="S12" i="7"/>
  <c r="R12" i="7"/>
  <c r="P12" i="7"/>
  <c r="O12" i="7"/>
  <c r="N12" i="7"/>
  <c r="M12" i="7"/>
  <c r="K12" i="7"/>
  <c r="B12" i="7"/>
  <c r="J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W8" i="7"/>
  <c r="P8" i="7"/>
  <c r="N8" i="7"/>
  <c r="M8" i="7"/>
  <c r="L8" i="7"/>
  <c r="K8" i="7"/>
  <c r="J8" i="7"/>
  <c r="I8" i="7"/>
  <c r="H8" i="7"/>
  <c r="G8" i="7"/>
  <c r="D8" i="7"/>
  <c r="B8" i="7"/>
  <c r="AA8" i="7" s="1"/>
  <c r="AA7" i="7"/>
  <c r="Z7" i="7"/>
  <c r="Y7" i="7"/>
  <c r="V7" i="7"/>
  <c r="S7" i="7"/>
  <c r="R7" i="7"/>
  <c r="Q7" i="7"/>
  <c r="P7" i="7"/>
  <c r="O7" i="7"/>
  <c r="N7" i="7"/>
  <c r="M7" i="7"/>
  <c r="L7" i="7"/>
  <c r="K7" i="7"/>
  <c r="J7" i="7"/>
  <c r="I7" i="7"/>
  <c r="F7" i="7"/>
  <c r="E7" i="7"/>
  <c r="D7" i="7"/>
  <c r="C7" i="7"/>
  <c r="B7" i="7"/>
  <c r="W7" i="7" s="1"/>
  <c r="AB6" i="7"/>
  <c r="Z6" i="7"/>
  <c r="X6" i="7"/>
  <c r="W6" i="7"/>
  <c r="V6" i="7"/>
  <c r="U6" i="7"/>
  <c r="S6" i="7"/>
  <c r="R6" i="7"/>
  <c r="Q6" i="7"/>
  <c r="P6" i="7"/>
  <c r="O6" i="7"/>
  <c r="N6" i="7"/>
  <c r="K6" i="7"/>
  <c r="I6" i="7"/>
  <c r="H6" i="7"/>
  <c r="F6" i="7"/>
  <c r="B6" i="7"/>
  <c r="AA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U3" i="7"/>
  <c r="T3" i="7"/>
  <c r="S3" i="7"/>
  <c r="P3" i="7"/>
  <c r="N3" i="7"/>
  <c r="L3" i="7"/>
  <c r="B3" i="7"/>
  <c r="B2" i="7"/>
  <c r="N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O17" i="6"/>
  <c r="M17" i="6"/>
  <c r="L17" i="6"/>
  <c r="K17" i="6"/>
  <c r="J17" i="6"/>
  <c r="H17" i="6"/>
  <c r="F17" i="6"/>
  <c r="E17" i="6"/>
  <c r="D17" i="6"/>
  <c r="B17" i="6"/>
  <c r="AA17" i="6" s="1"/>
  <c r="E16" i="6"/>
  <c r="D16" i="6"/>
  <c r="C16" i="6"/>
  <c r="B16" i="6"/>
  <c r="AB15" i="6"/>
  <c r="AA15" i="6"/>
  <c r="Y15" i="6"/>
  <c r="W15" i="6"/>
  <c r="V15" i="6"/>
  <c r="U15" i="6"/>
  <c r="T15" i="6"/>
  <c r="S15" i="6"/>
  <c r="R15" i="6"/>
  <c r="Q15" i="6"/>
  <c r="P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B14" i="6"/>
  <c r="Y14" i="6"/>
  <c r="X14" i="6"/>
  <c r="W14" i="6"/>
  <c r="T14" i="6"/>
  <c r="S14" i="6"/>
  <c r="R14" i="6"/>
  <c r="P14" i="6"/>
  <c r="O14" i="6"/>
  <c r="N14" i="6"/>
  <c r="M14" i="6"/>
  <c r="L14" i="6"/>
  <c r="K14" i="6"/>
  <c r="J14" i="6"/>
  <c r="I14" i="6"/>
  <c r="H14" i="6"/>
  <c r="F14" i="6"/>
  <c r="E14" i="6"/>
  <c r="D14" i="6"/>
  <c r="C14" i="6"/>
  <c r="B14" i="6"/>
  <c r="AA14" i="6" s="1"/>
  <c r="R13" i="6"/>
  <c r="Q13" i="6"/>
  <c r="P13" i="6"/>
  <c r="N13" i="6"/>
  <c r="M13" i="6"/>
  <c r="K13" i="6"/>
  <c r="I13" i="6"/>
  <c r="H13" i="6"/>
  <c r="G13" i="6"/>
  <c r="B13" i="6"/>
  <c r="Y13" i="6" s="1"/>
  <c r="B12" i="6"/>
  <c r="V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E8" i="6"/>
  <c r="B8" i="6"/>
  <c r="AB8" i="6" s="1"/>
  <c r="B7" i="6"/>
  <c r="J7" i="6" s="1"/>
  <c r="B6" i="6"/>
  <c r="L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O3" i="6"/>
  <c r="F3" i="6"/>
  <c r="B3" i="6"/>
  <c r="P3" i="6" s="1"/>
  <c r="B2" i="6"/>
  <c r="Z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V17" i="5"/>
  <c r="P17" i="5"/>
  <c r="B17" i="5"/>
  <c r="D17" i="5" s="1"/>
  <c r="B16" i="5"/>
  <c r="U15" i="5"/>
  <c r="T15" i="5"/>
  <c r="B15" i="5"/>
  <c r="X15" i="5" s="1"/>
  <c r="AB14" i="5"/>
  <c r="AA14" i="5"/>
  <c r="Z14" i="5"/>
  <c r="Y14" i="5"/>
  <c r="W14" i="5"/>
  <c r="V14" i="5"/>
  <c r="B14" i="5"/>
  <c r="D14" i="5" s="1"/>
  <c r="F13" i="5"/>
  <c r="D13" i="5"/>
  <c r="B13" i="5"/>
  <c r="AB13" i="5" s="1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X7" i="5"/>
  <c r="U7" i="5"/>
  <c r="N7" i="5"/>
  <c r="I7" i="5"/>
  <c r="B7" i="5"/>
  <c r="D7" i="5" s="1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S3" i="5"/>
  <c r="Q3" i="5"/>
  <c r="N3" i="5"/>
  <c r="M3" i="5"/>
  <c r="L3" i="5"/>
  <c r="B3" i="5"/>
  <c r="W3" i="5" s="1"/>
  <c r="B2" i="5"/>
  <c r="F2" i="5" s="1"/>
  <c r="B2" i="1"/>
  <c r="C2" i="13" l="1"/>
  <c r="V15" i="5"/>
  <c r="H2" i="7"/>
  <c r="D13" i="9"/>
  <c r="I3" i="12"/>
  <c r="Z3" i="14"/>
  <c r="U15" i="14"/>
  <c r="U12" i="15"/>
  <c r="O12" i="15"/>
  <c r="J12" i="15"/>
  <c r="G12" i="15"/>
  <c r="D12" i="15"/>
  <c r="AA12" i="15"/>
  <c r="Z12" i="15"/>
  <c r="V12" i="15"/>
  <c r="T12" i="15"/>
  <c r="AB12" i="16"/>
  <c r="W12" i="16"/>
  <c r="K12" i="16"/>
  <c r="I12" i="16"/>
  <c r="H3" i="18"/>
  <c r="O6" i="18"/>
  <c r="S2" i="13"/>
  <c r="N2" i="13"/>
  <c r="J2" i="13"/>
  <c r="I2" i="13"/>
  <c r="I2" i="7"/>
  <c r="W12" i="8"/>
  <c r="T12" i="8"/>
  <c r="S12" i="8"/>
  <c r="M13" i="9"/>
  <c r="J3" i="12"/>
  <c r="N15" i="12"/>
  <c r="E2" i="13"/>
  <c r="C17" i="13"/>
  <c r="AB3" i="14"/>
  <c r="V15" i="14"/>
  <c r="C12" i="15"/>
  <c r="O13" i="15"/>
  <c r="C12" i="16"/>
  <c r="I3" i="18"/>
  <c r="C15" i="18"/>
  <c r="AB15" i="18"/>
  <c r="AA15" i="18"/>
  <c r="Z15" i="18"/>
  <c r="Y15" i="18"/>
  <c r="X15" i="18"/>
  <c r="W15" i="18"/>
  <c r="S15" i="18"/>
  <c r="M15" i="18"/>
  <c r="K15" i="18"/>
  <c r="J15" i="18"/>
  <c r="E15" i="18"/>
  <c r="F3" i="12"/>
  <c r="W7" i="8"/>
  <c r="U7" i="8"/>
  <c r="Q13" i="9"/>
  <c r="K3" i="12"/>
  <c r="O15" i="12"/>
  <c r="F2" i="13"/>
  <c r="E17" i="13"/>
  <c r="W15" i="14"/>
  <c r="H12" i="15"/>
  <c r="X12" i="16"/>
  <c r="Z2" i="17"/>
  <c r="W2" i="17"/>
  <c r="L2" i="17"/>
  <c r="I2" i="17"/>
  <c r="G2" i="17"/>
  <c r="F2" i="17"/>
  <c r="J3" i="18"/>
  <c r="D15" i="18"/>
  <c r="AB6" i="18"/>
  <c r="AA6" i="18"/>
  <c r="W6" i="18"/>
  <c r="Q6" i="18"/>
  <c r="P6" i="18"/>
  <c r="K6" i="18"/>
  <c r="J6" i="18"/>
  <c r="I6" i="18"/>
  <c r="I6" i="5"/>
  <c r="C15" i="5"/>
  <c r="Z15" i="5"/>
  <c r="I6" i="6"/>
  <c r="L2" i="7"/>
  <c r="X15" i="7"/>
  <c r="N15" i="7"/>
  <c r="Z15" i="7"/>
  <c r="G7" i="8"/>
  <c r="D12" i="8"/>
  <c r="S13" i="9"/>
  <c r="C17" i="11"/>
  <c r="L3" i="12"/>
  <c r="P15" i="12"/>
  <c r="G2" i="13"/>
  <c r="Y7" i="13"/>
  <c r="Z7" i="13"/>
  <c r="X7" i="13"/>
  <c r="U14" i="13"/>
  <c r="H14" i="13"/>
  <c r="R14" i="13"/>
  <c r="O14" i="13"/>
  <c r="N14" i="13"/>
  <c r="I12" i="15"/>
  <c r="Y12" i="16"/>
  <c r="J2" i="17"/>
  <c r="N3" i="18"/>
  <c r="Q15" i="18"/>
  <c r="E6" i="18"/>
  <c r="Y15" i="5"/>
  <c r="K2" i="7"/>
  <c r="AA15" i="5"/>
  <c r="W8" i="9"/>
  <c r="X8" i="9"/>
  <c r="S8" i="9"/>
  <c r="R8" i="9"/>
  <c r="W13" i="9"/>
  <c r="M3" i="12"/>
  <c r="Y14" i="12"/>
  <c r="X14" i="12"/>
  <c r="H2" i="13"/>
  <c r="AA17" i="17"/>
  <c r="Z17" i="17"/>
  <c r="Y17" i="17"/>
  <c r="W17" i="17"/>
  <c r="U17" i="17"/>
  <c r="R17" i="17"/>
  <c r="O17" i="17"/>
  <c r="M17" i="17"/>
  <c r="L17" i="17"/>
  <c r="P3" i="18"/>
  <c r="G12" i="5"/>
  <c r="M2" i="13"/>
  <c r="F8" i="9"/>
  <c r="Z13" i="9"/>
  <c r="E6" i="11"/>
  <c r="P17" i="11"/>
  <c r="T3" i="12"/>
  <c r="D8" i="12"/>
  <c r="Q14" i="12"/>
  <c r="T15" i="12"/>
  <c r="O2" i="13"/>
  <c r="X15" i="14"/>
  <c r="T15" i="14"/>
  <c r="G15" i="14"/>
  <c r="AA15" i="14"/>
  <c r="D15" i="14"/>
  <c r="Z15" i="14"/>
  <c r="C15" i="14"/>
  <c r="P3" i="15"/>
  <c r="J3" i="15"/>
  <c r="Y3" i="15"/>
  <c r="X3" i="15"/>
  <c r="T3" i="15"/>
  <c r="Q3" i="15"/>
  <c r="N12" i="15"/>
  <c r="O14" i="15"/>
  <c r="E14" i="15"/>
  <c r="D14" i="15"/>
  <c r="X17" i="17"/>
  <c r="W15" i="5"/>
  <c r="AB15" i="5"/>
  <c r="L2" i="13"/>
  <c r="D2" i="5"/>
  <c r="G13" i="5"/>
  <c r="C6" i="11"/>
  <c r="L3" i="14"/>
  <c r="X3" i="14"/>
  <c r="U3" i="14"/>
  <c r="T3" i="14"/>
  <c r="N6" i="6"/>
  <c r="L12" i="6"/>
  <c r="P17" i="6"/>
  <c r="C6" i="10"/>
  <c r="H15" i="5"/>
  <c r="N12" i="6"/>
  <c r="S14" i="8"/>
  <c r="C3" i="9"/>
  <c r="Y7" i="9"/>
  <c r="V7" i="9"/>
  <c r="S7" i="9"/>
  <c r="R7" i="9"/>
  <c r="G8" i="9"/>
  <c r="M3" i="11"/>
  <c r="J3" i="11"/>
  <c r="I3" i="11"/>
  <c r="G6" i="11"/>
  <c r="P7" i="11"/>
  <c r="U3" i="12"/>
  <c r="F8" i="12"/>
  <c r="R14" i="12"/>
  <c r="Y15" i="12"/>
  <c r="P2" i="13"/>
  <c r="G7" i="13"/>
  <c r="L14" i="13"/>
  <c r="D3" i="14"/>
  <c r="E15" i="14"/>
  <c r="C3" i="15"/>
  <c r="P12" i="15"/>
  <c r="M14" i="15"/>
  <c r="AB17" i="17"/>
  <c r="Z3" i="18"/>
  <c r="D3" i="18"/>
  <c r="Y3" i="18"/>
  <c r="W3" i="18"/>
  <c r="S3" i="18"/>
  <c r="R3" i="18"/>
  <c r="Q3" i="18"/>
  <c r="M3" i="18"/>
  <c r="K3" i="18"/>
  <c r="C2" i="5"/>
  <c r="E15" i="5"/>
  <c r="C2" i="6"/>
  <c r="T2" i="6"/>
  <c r="O2" i="7"/>
  <c r="E15" i="7"/>
  <c r="M7" i="8"/>
  <c r="E2" i="5"/>
  <c r="R6" i="5"/>
  <c r="H13" i="5"/>
  <c r="S13" i="6"/>
  <c r="G12" i="10"/>
  <c r="W6" i="5"/>
  <c r="J17" i="5"/>
  <c r="AA2" i="6"/>
  <c r="O6" i="6"/>
  <c r="Q17" i="6"/>
  <c r="Q2" i="7"/>
  <c r="R8" i="7"/>
  <c r="Y12" i="7"/>
  <c r="F14" i="7"/>
  <c r="G15" i="7"/>
  <c r="P7" i="8"/>
  <c r="Q12" i="8"/>
  <c r="X12" i="9"/>
  <c r="S12" i="9"/>
  <c r="O12" i="9"/>
  <c r="AA13" i="9"/>
  <c r="AA15" i="9"/>
  <c r="M15" i="9"/>
  <c r="Z2" i="10"/>
  <c r="E6" i="10"/>
  <c r="Z12" i="10"/>
  <c r="P14" i="10"/>
  <c r="P15" i="10"/>
  <c r="X6" i="5"/>
  <c r="J13" i="5"/>
  <c r="I15" i="5"/>
  <c r="K17" i="5"/>
  <c r="AB2" i="6"/>
  <c r="P6" i="6"/>
  <c r="O12" i="6"/>
  <c r="V13" i="6"/>
  <c r="R17" i="6"/>
  <c r="R2" i="7"/>
  <c r="U7" i="7"/>
  <c r="T8" i="7"/>
  <c r="AB12" i="7"/>
  <c r="H15" i="7"/>
  <c r="Q7" i="8"/>
  <c r="R12" i="8"/>
  <c r="T13" i="8"/>
  <c r="T14" i="8"/>
  <c r="F3" i="9"/>
  <c r="C7" i="9"/>
  <c r="I8" i="9"/>
  <c r="C12" i="9"/>
  <c r="X14" i="9"/>
  <c r="H14" i="9"/>
  <c r="AB14" i="9"/>
  <c r="E14" i="9"/>
  <c r="AA14" i="9"/>
  <c r="D14" i="9"/>
  <c r="K15" i="9"/>
  <c r="H6" i="10"/>
  <c r="AA12" i="10"/>
  <c r="Q14" i="10"/>
  <c r="Q15" i="10"/>
  <c r="C3" i="11"/>
  <c r="H6" i="11"/>
  <c r="S7" i="11"/>
  <c r="Y12" i="11"/>
  <c r="X12" i="11"/>
  <c r="U14" i="11"/>
  <c r="Y3" i="12"/>
  <c r="G8" i="12"/>
  <c r="V14" i="12"/>
  <c r="Z15" i="12"/>
  <c r="Q2" i="13"/>
  <c r="H7" i="13"/>
  <c r="M14" i="13"/>
  <c r="S15" i="13"/>
  <c r="E3" i="14"/>
  <c r="Z7" i="14"/>
  <c r="AB7" i="14"/>
  <c r="J7" i="14"/>
  <c r="G7" i="14"/>
  <c r="E7" i="14"/>
  <c r="F15" i="14"/>
  <c r="D3" i="15"/>
  <c r="Q12" i="15"/>
  <c r="N14" i="15"/>
  <c r="J6" i="6"/>
  <c r="M2" i="7"/>
  <c r="Z14" i="7"/>
  <c r="Q14" i="7"/>
  <c r="N12" i="8"/>
  <c r="G15" i="5"/>
  <c r="P2" i="7"/>
  <c r="Q8" i="7"/>
  <c r="X12" i="7"/>
  <c r="D14" i="7"/>
  <c r="F15" i="7"/>
  <c r="O7" i="8"/>
  <c r="O12" i="8"/>
  <c r="R14" i="8"/>
  <c r="AA6" i="6"/>
  <c r="P12" i="6"/>
  <c r="Z13" i="7"/>
  <c r="M13" i="7"/>
  <c r="I14" i="7"/>
  <c r="I15" i="7"/>
  <c r="S7" i="8"/>
  <c r="U12" i="8"/>
  <c r="U14" i="8"/>
  <c r="G3" i="9"/>
  <c r="D7" i="9"/>
  <c r="K8" i="9"/>
  <c r="D12" i="9"/>
  <c r="Y15" i="9"/>
  <c r="R14" i="10"/>
  <c r="R15" i="10"/>
  <c r="D3" i="11"/>
  <c r="K6" i="11"/>
  <c r="T7" i="11"/>
  <c r="Z3" i="12"/>
  <c r="H8" i="12"/>
  <c r="W14" i="12"/>
  <c r="R2" i="13"/>
  <c r="I7" i="13"/>
  <c r="W13" i="13"/>
  <c r="P13" i="13"/>
  <c r="M13" i="13"/>
  <c r="K13" i="13"/>
  <c r="P14" i="13"/>
  <c r="T15" i="13"/>
  <c r="F3" i="14"/>
  <c r="H15" i="14"/>
  <c r="X2" i="15"/>
  <c r="K2" i="15"/>
  <c r="V2" i="15"/>
  <c r="U2" i="15"/>
  <c r="Q2" i="15"/>
  <c r="P2" i="15"/>
  <c r="E3" i="15"/>
  <c r="R12" i="15"/>
  <c r="AB14" i="15"/>
  <c r="Z6" i="16"/>
  <c r="V6" i="16"/>
  <c r="Q6" i="16"/>
  <c r="O6" i="16"/>
  <c r="N6" i="16"/>
  <c r="K6" i="16"/>
  <c r="J6" i="16"/>
  <c r="G6" i="16"/>
  <c r="F6" i="16"/>
  <c r="I13" i="5"/>
  <c r="T13" i="6"/>
  <c r="Z6" i="5"/>
  <c r="K13" i="5"/>
  <c r="J15" i="5"/>
  <c r="L17" i="5"/>
  <c r="S17" i="6"/>
  <c r="S2" i="7"/>
  <c r="U8" i="7"/>
  <c r="J6" i="10"/>
  <c r="M13" i="5"/>
  <c r="K15" i="5"/>
  <c r="O17" i="5"/>
  <c r="C3" i="6"/>
  <c r="AB6" i="6"/>
  <c r="R12" i="6"/>
  <c r="U14" i="6"/>
  <c r="Q14" i="6"/>
  <c r="X15" i="6"/>
  <c r="O15" i="6"/>
  <c r="Z15" i="6"/>
  <c r="T17" i="6"/>
  <c r="Z2" i="7"/>
  <c r="V8" i="7"/>
  <c r="E13" i="7"/>
  <c r="J14" i="7"/>
  <c r="J15" i="7"/>
  <c r="T7" i="8"/>
  <c r="V12" i="8"/>
  <c r="V13" i="8"/>
  <c r="V14" i="8"/>
  <c r="K3" i="9"/>
  <c r="F7" i="9"/>
  <c r="L8" i="9"/>
  <c r="E12" i="9"/>
  <c r="F14" i="9"/>
  <c r="Z15" i="9"/>
  <c r="Z17" i="9"/>
  <c r="AA17" i="9"/>
  <c r="L6" i="10"/>
  <c r="D13" i="10"/>
  <c r="S14" i="10"/>
  <c r="T15" i="10"/>
  <c r="E3" i="11"/>
  <c r="L6" i="11"/>
  <c r="U7" i="11"/>
  <c r="E12" i="11"/>
  <c r="AA3" i="12"/>
  <c r="I8" i="12"/>
  <c r="AB14" i="12"/>
  <c r="U2" i="13"/>
  <c r="L7" i="13"/>
  <c r="F13" i="13"/>
  <c r="Q14" i="13"/>
  <c r="V15" i="13"/>
  <c r="G3" i="14"/>
  <c r="D7" i="14"/>
  <c r="I15" i="14"/>
  <c r="C2" i="15"/>
  <c r="F3" i="15"/>
  <c r="S12" i="15"/>
  <c r="E6" i="16"/>
  <c r="J12" i="6"/>
  <c r="X3" i="7"/>
  <c r="O3" i="7"/>
  <c r="L14" i="7"/>
  <c r="K15" i="7"/>
  <c r="Y7" i="8"/>
  <c r="X12" i="8"/>
  <c r="X15" i="12"/>
  <c r="AA15" i="12"/>
  <c r="C15" i="12"/>
  <c r="W15" i="12"/>
  <c r="V15" i="12"/>
  <c r="I3" i="14"/>
  <c r="AB2" i="16"/>
  <c r="AA2" i="16"/>
  <c r="W2" i="16"/>
  <c r="U2" i="16"/>
  <c r="P2" i="16"/>
  <c r="K2" i="16"/>
  <c r="M6" i="17"/>
  <c r="L6" i="17"/>
  <c r="C13" i="9"/>
  <c r="P3" i="12"/>
  <c r="C8" i="12"/>
  <c r="M8" i="9"/>
  <c r="T12" i="6"/>
  <c r="V17" i="6"/>
  <c r="F3" i="7"/>
  <c r="Y8" i="7"/>
  <c r="C12" i="7"/>
  <c r="H13" i="7"/>
  <c r="M14" i="7"/>
  <c r="L15" i="7"/>
  <c r="AB17" i="7"/>
  <c r="C17" i="7"/>
  <c r="Z7" i="8"/>
  <c r="Y12" i="8"/>
  <c r="X13" i="8"/>
  <c r="Y14" i="8"/>
  <c r="S3" i="9"/>
  <c r="I7" i="9"/>
  <c r="N8" i="9"/>
  <c r="J12" i="9"/>
  <c r="R6" i="10"/>
  <c r="H13" i="10"/>
  <c r="U14" i="10"/>
  <c r="V15" i="10"/>
  <c r="K3" i="11"/>
  <c r="W7" i="11"/>
  <c r="P7" i="12"/>
  <c r="I7" i="12"/>
  <c r="G7" i="12"/>
  <c r="D15" i="12"/>
  <c r="X2" i="13"/>
  <c r="N7" i="13"/>
  <c r="H13" i="13"/>
  <c r="T14" i="13"/>
  <c r="Y15" i="13"/>
  <c r="J3" i="14"/>
  <c r="K15" i="14"/>
  <c r="E2" i="15"/>
  <c r="I3" i="15"/>
  <c r="X12" i="15"/>
  <c r="D2" i="16"/>
  <c r="I6" i="16"/>
  <c r="C6" i="17"/>
  <c r="W2" i="18"/>
  <c r="Y2" i="18"/>
  <c r="X2" i="18"/>
  <c r="V2" i="18"/>
  <c r="S2" i="18"/>
  <c r="R2" i="18"/>
  <c r="P2" i="18"/>
  <c r="N2" i="18"/>
  <c r="M2" i="18"/>
  <c r="L2" i="18"/>
  <c r="G2" i="18"/>
  <c r="F2" i="18"/>
  <c r="U8" i="12"/>
  <c r="Q8" i="12"/>
  <c r="P8" i="12"/>
  <c r="K12" i="6"/>
  <c r="L15" i="5"/>
  <c r="X13" i="5"/>
  <c r="M15" i="5"/>
  <c r="Q17" i="5"/>
  <c r="K3" i="6"/>
  <c r="N15" i="5"/>
  <c r="L3" i="6"/>
  <c r="W17" i="6"/>
  <c r="G3" i="7"/>
  <c r="Z14" i="8"/>
  <c r="Y3" i="9"/>
  <c r="J7" i="9"/>
  <c r="O8" i="9"/>
  <c r="U12" i="9"/>
  <c r="Y6" i="10"/>
  <c r="V14" i="10"/>
  <c r="E15" i="12"/>
  <c r="Y2" i="13"/>
  <c r="R7" i="13"/>
  <c r="K3" i="14"/>
  <c r="L15" i="14"/>
  <c r="K3" i="15"/>
  <c r="P13" i="15"/>
  <c r="M13" i="15"/>
  <c r="H13" i="15"/>
  <c r="E13" i="15"/>
  <c r="D13" i="15"/>
  <c r="AA13" i="15"/>
  <c r="Z13" i="15"/>
  <c r="T13" i="15"/>
  <c r="S13" i="15"/>
  <c r="Q2" i="16"/>
  <c r="E6" i="17"/>
  <c r="E6" i="6"/>
  <c r="AA6" i="11"/>
  <c r="O6" i="11"/>
  <c r="J6" i="11"/>
  <c r="I6" i="11"/>
  <c r="U17" i="6"/>
  <c r="O3" i="9"/>
  <c r="O6" i="10"/>
  <c r="P6" i="11"/>
  <c r="J8" i="12"/>
  <c r="V2" i="13"/>
  <c r="Y13" i="5"/>
  <c r="R17" i="5"/>
  <c r="C8" i="6"/>
  <c r="U12" i="6"/>
  <c r="Z8" i="7"/>
  <c r="E12" i="7"/>
  <c r="I13" i="7"/>
  <c r="N14" i="7"/>
  <c r="M15" i="7"/>
  <c r="Z12" i="8"/>
  <c r="W15" i="10"/>
  <c r="L3" i="11"/>
  <c r="R6" i="11"/>
  <c r="X7" i="11"/>
  <c r="R8" i="12"/>
  <c r="V14" i="13"/>
  <c r="T3" i="5"/>
  <c r="V7" i="5"/>
  <c r="Z13" i="5"/>
  <c r="O15" i="5"/>
  <c r="S17" i="5"/>
  <c r="M3" i="6"/>
  <c r="D8" i="6"/>
  <c r="X17" i="6"/>
  <c r="H3" i="7"/>
  <c r="G7" i="7"/>
  <c r="H7" i="7"/>
  <c r="AB7" i="7"/>
  <c r="F12" i="7"/>
  <c r="J13" i="7"/>
  <c r="O14" i="7"/>
  <c r="O15" i="7"/>
  <c r="E17" i="7"/>
  <c r="O2" i="8"/>
  <c r="AA2" i="8"/>
  <c r="AA12" i="8"/>
  <c r="Z3" i="9"/>
  <c r="L7" i="9"/>
  <c r="P8" i="9"/>
  <c r="W12" i="9"/>
  <c r="K14" i="9"/>
  <c r="J17" i="9"/>
  <c r="P13" i="10"/>
  <c r="W14" i="10"/>
  <c r="AA15" i="10"/>
  <c r="P3" i="11"/>
  <c r="T6" i="11"/>
  <c r="Z7" i="11"/>
  <c r="J12" i="11"/>
  <c r="E7" i="12"/>
  <c r="S8" i="12"/>
  <c r="F15" i="12"/>
  <c r="Z2" i="13"/>
  <c r="S7" i="13"/>
  <c r="O13" i="13"/>
  <c r="W14" i="13"/>
  <c r="M3" i="14"/>
  <c r="U6" i="14"/>
  <c r="Z6" i="14"/>
  <c r="J6" i="14"/>
  <c r="F6" i="14"/>
  <c r="E6" i="14"/>
  <c r="L7" i="14"/>
  <c r="M15" i="14"/>
  <c r="G2" i="15"/>
  <c r="L3" i="15"/>
  <c r="C13" i="15"/>
  <c r="T2" i="16"/>
  <c r="M6" i="16"/>
  <c r="G6" i="17"/>
  <c r="J2" i="18"/>
  <c r="X12" i="6"/>
  <c r="D12" i="6"/>
  <c r="R13" i="5"/>
  <c r="S12" i="6"/>
  <c r="X8" i="7"/>
  <c r="E8" i="7"/>
  <c r="AB8" i="7"/>
  <c r="G12" i="7"/>
  <c r="P15" i="7"/>
  <c r="X14" i="8"/>
  <c r="P14" i="8"/>
  <c r="M14" i="8"/>
  <c r="L14" i="8"/>
  <c r="AB14" i="8"/>
  <c r="AA3" i="9"/>
  <c r="W2" i="10"/>
  <c r="V2" i="10"/>
  <c r="N2" i="10"/>
  <c r="M2" i="10"/>
  <c r="Y14" i="10"/>
  <c r="Q3" i="11"/>
  <c r="U6" i="11"/>
  <c r="AA7" i="11"/>
  <c r="V8" i="12"/>
  <c r="G15" i="12"/>
  <c r="AB2" i="13"/>
  <c r="U7" i="13"/>
  <c r="Y14" i="13"/>
  <c r="Q2" i="14"/>
  <c r="G2" i="14"/>
  <c r="Y2" i="14"/>
  <c r="U2" i="14"/>
  <c r="R2" i="14"/>
  <c r="N3" i="14"/>
  <c r="N15" i="14"/>
  <c r="H2" i="15"/>
  <c r="M3" i="15"/>
  <c r="F13" i="15"/>
  <c r="X2" i="16"/>
  <c r="S6" i="16"/>
  <c r="Q6" i="17"/>
  <c r="K2" i="18"/>
  <c r="E6" i="5"/>
  <c r="D15" i="5"/>
  <c r="K6" i="6"/>
  <c r="E8" i="9"/>
  <c r="Y13" i="9"/>
  <c r="P15" i="5"/>
  <c r="T17" i="5"/>
  <c r="W12" i="6"/>
  <c r="Z17" i="6"/>
  <c r="J3" i="7"/>
  <c r="R14" i="7"/>
  <c r="AB12" i="8"/>
  <c r="Q8" i="9"/>
  <c r="O14" i="5"/>
  <c r="Q15" i="5"/>
  <c r="U17" i="5"/>
  <c r="G8" i="6"/>
  <c r="Y12" i="6"/>
  <c r="K3" i="7"/>
  <c r="C8" i="7"/>
  <c r="H12" i="7"/>
  <c r="N13" i="7"/>
  <c r="S14" i="7"/>
  <c r="Q15" i="7"/>
  <c r="S13" i="8"/>
  <c r="P13" i="8"/>
  <c r="O13" i="8"/>
  <c r="C14" i="8"/>
  <c r="Z15" i="8"/>
  <c r="N15" i="8"/>
  <c r="K15" i="8"/>
  <c r="J15" i="8"/>
  <c r="N7" i="9"/>
  <c r="T8" i="9"/>
  <c r="Z12" i="9"/>
  <c r="C2" i="10"/>
  <c r="R3" i="11"/>
  <c r="X6" i="11"/>
  <c r="S14" i="11"/>
  <c r="K14" i="11"/>
  <c r="H14" i="11"/>
  <c r="G14" i="11"/>
  <c r="J7" i="12"/>
  <c r="W8" i="12"/>
  <c r="H15" i="12"/>
  <c r="AA3" i="13"/>
  <c r="P3" i="13"/>
  <c r="L3" i="13"/>
  <c r="K3" i="13"/>
  <c r="W7" i="13"/>
  <c r="R13" i="13"/>
  <c r="AA14" i="13"/>
  <c r="E2" i="14"/>
  <c r="P3" i="14"/>
  <c r="H6" i="14"/>
  <c r="N7" i="14"/>
  <c r="E13" i="14"/>
  <c r="O15" i="14"/>
  <c r="I2" i="15"/>
  <c r="N3" i="15"/>
  <c r="G13" i="15"/>
  <c r="Y2" i="16"/>
  <c r="T6" i="16"/>
  <c r="V7" i="17"/>
  <c r="S7" i="17"/>
  <c r="R7" i="17"/>
  <c r="P7" i="17"/>
  <c r="J7" i="17"/>
  <c r="H7" i="17"/>
  <c r="F7" i="17"/>
  <c r="E7" i="17"/>
  <c r="D7" i="17"/>
  <c r="O2" i="18"/>
  <c r="J6" i="5"/>
  <c r="K6" i="5"/>
  <c r="C8" i="9"/>
  <c r="N3" i="12"/>
  <c r="V3" i="18"/>
  <c r="M6" i="5"/>
  <c r="F15" i="5"/>
  <c r="M6" i="6"/>
  <c r="R15" i="5"/>
  <c r="AB12" i="6"/>
  <c r="R15" i="7"/>
  <c r="U8" i="9"/>
  <c r="Q8" i="10"/>
  <c r="Z8" i="10"/>
  <c r="N8" i="10"/>
  <c r="X15" i="10"/>
  <c r="D15" i="10"/>
  <c r="Z15" i="10"/>
  <c r="Y15" i="10"/>
  <c r="Q7" i="11"/>
  <c r="R7" i="11"/>
  <c r="N7" i="11"/>
  <c r="M7" i="11"/>
  <c r="AB8" i="11"/>
  <c r="S8" i="11"/>
  <c r="P8" i="11"/>
  <c r="O8" i="11"/>
  <c r="X8" i="12"/>
  <c r="I15" i="12"/>
  <c r="AB6" i="13"/>
  <c r="P6" i="13"/>
  <c r="K6" i="13"/>
  <c r="J6" i="13"/>
  <c r="AA7" i="13"/>
  <c r="S13" i="13"/>
  <c r="X15" i="13"/>
  <c r="H15" i="13"/>
  <c r="Q15" i="13"/>
  <c r="N15" i="13"/>
  <c r="M15" i="13"/>
  <c r="F2" i="14"/>
  <c r="S3" i="14"/>
  <c r="G13" i="14"/>
  <c r="P15" i="14"/>
  <c r="J2" i="15"/>
  <c r="U3" i="15"/>
  <c r="I13" i="15"/>
  <c r="W6" i="16"/>
  <c r="G7" i="17"/>
  <c r="U2" i="18"/>
  <c r="X17" i="18"/>
  <c r="U17" i="18"/>
  <c r="S17" i="18"/>
  <c r="P17" i="18"/>
  <c r="O17" i="18"/>
  <c r="N17" i="18"/>
  <c r="L17" i="18"/>
  <c r="J17" i="18"/>
  <c r="I17" i="18"/>
  <c r="G17" i="18"/>
  <c r="E17" i="18"/>
  <c r="D17" i="18"/>
  <c r="C17" i="18"/>
  <c r="AB17" i="18"/>
  <c r="AA17" i="18"/>
  <c r="Y17" i="18"/>
  <c r="W17" i="18"/>
  <c r="Y2" i="7"/>
  <c r="G2" i="7"/>
  <c r="N17" i="6"/>
  <c r="G17" i="6"/>
  <c r="AB17" i="6"/>
  <c r="T14" i="7"/>
  <c r="S15" i="5"/>
  <c r="AB13" i="6"/>
  <c r="O13" i="6"/>
  <c r="C17" i="6"/>
  <c r="M3" i="7"/>
  <c r="F8" i="7"/>
  <c r="L12" i="7"/>
  <c r="U14" i="7"/>
  <c r="S15" i="7"/>
  <c r="E14" i="8"/>
  <c r="Y8" i="9"/>
  <c r="AB12" i="9"/>
  <c r="E2" i="10"/>
  <c r="C8" i="10"/>
  <c r="X14" i="10"/>
  <c r="H14" i="10"/>
  <c r="AB14" i="10"/>
  <c r="E14" i="10"/>
  <c r="AA14" i="10"/>
  <c r="D14" i="10"/>
  <c r="C15" i="10"/>
  <c r="U3" i="11"/>
  <c r="C7" i="11"/>
  <c r="C8" i="11"/>
  <c r="Y8" i="12"/>
  <c r="J15" i="12"/>
  <c r="G6" i="13"/>
  <c r="AB7" i="13"/>
  <c r="AB12" i="13"/>
  <c r="X12" i="13"/>
  <c r="D12" i="13"/>
  <c r="T13" i="13"/>
  <c r="C15" i="13"/>
  <c r="L2" i="14"/>
  <c r="V3" i="14"/>
  <c r="K13" i="14"/>
  <c r="Q15" i="14"/>
  <c r="L2" i="15"/>
  <c r="W3" i="15"/>
  <c r="J13" i="15"/>
  <c r="Z7" i="16"/>
  <c r="AB7" i="16"/>
  <c r="V7" i="16"/>
  <c r="U7" i="16"/>
  <c r="T7" i="16"/>
  <c r="P7" i="16"/>
  <c r="O7" i="16"/>
  <c r="J7" i="16"/>
  <c r="I7" i="16"/>
  <c r="F7" i="16"/>
  <c r="E7" i="16"/>
  <c r="K7" i="17"/>
  <c r="Z2" i="18"/>
  <c r="M17" i="18"/>
  <c r="AB8" i="18"/>
  <c r="Y12" i="18"/>
  <c r="H2" i="19"/>
  <c r="K3" i="19"/>
  <c r="N6" i="19"/>
  <c r="M8" i="19"/>
  <c r="C12" i="19"/>
  <c r="K13" i="19"/>
  <c r="T14" i="19"/>
  <c r="S6" i="15"/>
  <c r="P7" i="15"/>
  <c r="M8" i="15"/>
  <c r="U15" i="15"/>
  <c r="Z17" i="16"/>
  <c r="Q12" i="17"/>
  <c r="C8" i="18"/>
  <c r="Z12" i="18"/>
  <c r="M2" i="19"/>
  <c r="M3" i="19"/>
  <c r="O6" i="19"/>
  <c r="N8" i="19"/>
  <c r="E12" i="19"/>
  <c r="L13" i="19"/>
  <c r="U14" i="19"/>
  <c r="T6" i="15"/>
  <c r="Q7" i="15"/>
  <c r="N8" i="15"/>
  <c r="V15" i="15"/>
  <c r="C14" i="16"/>
  <c r="AB17" i="16"/>
  <c r="R12" i="17"/>
  <c r="D8" i="18"/>
  <c r="N2" i="19"/>
  <c r="N3" i="19"/>
  <c r="R6" i="19"/>
  <c r="O8" i="19"/>
  <c r="F12" i="19"/>
  <c r="M13" i="19"/>
  <c r="V14" i="19"/>
  <c r="O2" i="19"/>
  <c r="P3" i="19"/>
  <c r="W6" i="19"/>
  <c r="P8" i="19"/>
  <c r="G12" i="19"/>
  <c r="O13" i="19"/>
  <c r="AB14" i="19"/>
  <c r="H12" i="19"/>
  <c r="P13" i="19"/>
  <c r="W6" i="15"/>
  <c r="T7" i="15"/>
  <c r="T8" i="15"/>
  <c r="AA15" i="15"/>
  <c r="J14" i="16"/>
  <c r="H8" i="17"/>
  <c r="U12" i="17"/>
  <c r="H15" i="17"/>
  <c r="G8" i="18"/>
  <c r="H13" i="18"/>
  <c r="R2" i="19"/>
  <c r="R3" i="19"/>
  <c r="C7" i="19"/>
  <c r="R8" i="19"/>
  <c r="I12" i="19"/>
  <c r="Q13" i="19"/>
  <c r="C15" i="19"/>
  <c r="X6" i="15"/>
  <c r="U7" i="15"/>
  <c r="W8" i="15"/>
  <c r="Y14" i="16"/>
  <c r="J8" i="17"/>
  <c r="V12" i="17"/>
  <c r="I15" i="17"/>
  <c r="J8" i="18"/>
  <c r="P13" i="18"/>
  <c r="S2" i="19"/>
  <c r="S3" i="19"/>
  <c r="F7" i="19"/>
  <c r="S8" i="19"/>
  <c r="J12" i="19"/>
  <c r="T13" i="19"/>
  <c r="E15" i="19"/>
  <c r="N8" i="17"/>
  <c r="W12" i="17"/>
  <c r="N15" i="17"/>
  <c r="K8" i="18"/>
  <c r="U2" i="19"/>
  <c r="T3" i="19"/>
  <c r="G7" i="19"/>
  <c r="T8" i="19"/>
  <c r="L12" i="19"/>
  <c r="V13" i="19"/>
  <c r="F15" i="19"/>
  <c r="V2" i="19"/>
  <c r="U3" i="19"/>
  <c r="H7" i="19"/>
  <c r="V8" i="19"/>
  <c r="P12" i="19"/>
  <c r="W13" i="19"/>
  <c r="G15" i="19"/>
  <c r="Y7" i="15"/>
  <c r="Z8" i="15"/>
  <c r="X15" i="16"/>
  <c r="Z12" i="17"/>
  <c r="N8" i="18"/>
  <c r="H14" i="18"/>
  <c r="W2" i="19"/>
  <c r="V3" i="19"/>
  <c r="L7" i="19"/>
  <c r="Q12" i="19"/>
  <c r="Y13" i="19"/>
  <c r="J15" i="19"/>
  <c r="C7" i="15"/>
  <c r="Z7" i="15"/>
  <c r="AA8" i="15"/>
  <c r="Q8" i="17"/>
  <c r="AB12" i="17"/>
  <c r="O8" i="18"/>
  <c r="L14" i="18"/>
  <c r="X2" i="19"/>
  <c r="W3" i="19"/>
  <c r="M7" i="19"/>
  <c r="Y8" i="19"/>
  <c r="R12" i="19"/>
  <c r="Z13" i="19"/>
  <c r="L15" i="19"/>
  <c r="C17" i="19"/>
  <c r="P8" i="18"/>
  <c r="Q14" i="18"/>
  <c r="Z2" i="19"/>
  <c r="Y3" i="19"/>
  <c r="R7" i="19"/>
  <c r="Z8" i="19"/>
  <c r="T12" i="19"/>
  <c r="AA13" i="19"/>
  <c r="M15" i="19"/>
  <c r="E17" i="19"/>
  <c r="O15" i="19"/>
  <c r="F17" i="19"/>
  <c r="D12" i="17"/>
  <c r="D13" i="17"/>
  <c r="R8" i="18"/>
  <c r="U14" i="18"/>
  <c r="AA3" i="19"/>
  <c r="AB8" i="19"/>
  <c r="V12" i="19"/>
  <c r="F14" i="19"/>
  <c r="P15" i="19"/>
  <c r="G17" i="19"/>
  <c r="C17" i="16"/>
  <c r="U8" i="17"/>
  <c r="E12" i="17"/>
  <c r="N13" i="17"/>
  <c r="S8" i="18"/>
  <c r="V14" i="18"/>
  <c r="C3" i="19"/>
  <c r="AB3" i="19"/>
  <c r="C8" i="19"/>
  <c r="Y12" i="19"/>
  <c r="G14" i="19"/>
  <c r="Q15" i="19"/>
  <c r="M17" i="19"/>
  <c r="L17" i="15"/>
  <c r="D17" i="16"/>
  <c r="F12" i="17"/>
  <c r="Q13" i="17"/>
  <c r="T8" i="18"/>
  <c r="X14" i="18"/>
  <c r="D3" i="19"/>
  <c r="D8" i="19"/>
  <c r="AA12" i="19"/>
  <c r="H14" i="19"/>
  <c r="W15" i="19"/>
  <c r="O17" i="19"/>
  <c r="E8" i="19"/>
  <c r="AB12" i="19"/>
  <c r="J14" i="19"/>
  <c r="Y15" i="19"/>
  <c r="Q17" i="19"/>
  <c r="K14" i="19"/>
  <c r="AA15" i="19"/>
  <c r="R17" i="19"/>
  <c r="N6" i="15"/>
  <c r="K7" i="15"/>
  <c r="AA8" i="17"/>
  <c r="I12" i="17"/>
  <c r="G3" i="19"/>
  <c r="E6" i="19"/>
  <c r="G8" i="19"/>
  <c r="C13" i="19"/>
  <c r="L14" i="19"/>
  <c r="AB15" i="19"/>
  <c r="V17" i="19"/>
  <c r="H3" i="19"/>
  <c r="G6" i="19"/>
  <c r="H8" i="19"/>
  <c r="D13" i="19"/>
  <c r="O14" i="19"/>
  <c r="Y17" i="19"/>
  <c r="C2" i="19"/>
  <c r="I3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<sst xmlns="http://schemas.openxmlformats.org/spreadsheetml/2006/main" count="3113" uniqueCount="587">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</sst>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102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MN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2.0389568921823559E-2</v>
      </c>
      <c r="C2" s="7">
        <f>$B2 * IFERROR(VLOOKUP("transport|PM25|Premature mortality", US_national_yearly!$D:$AM, 11, FALSE) / VLOOKUP("transport|PM25|Premature mortality", US_national_yearly!$D:$AM, 10, FALSE), 1)</f>
        <v>2.0642354892996602E-2</v>
      </c>
      <c r="D2" s="7">
        <f>$B2 * IFERROR(VLOOKUP("transport|PM25|Premature mortality", US_national_yearly!$D:$AM, 12, FALSE) / VLOOKUP("transport|PM25|Premature mortality", US_national_yearly!$D:$AM, 10, FALSE), 1)</f>
        <v>2.0895140864169642E-2</v>
      </c>
      <c r="E2" s="7">
        <f>$B2 * IFERROR(VLOOKUP("transport|PM25|Premature mortality", US_national_yearly!$D:$AM, 13, FALSE) / VLOOKUP("transport|PM25|Premature mortality", US_national_yearly!$D:$AM, 10, FALSE), 1)</f>
        <v>2.1147926835342678E-2</v>
      </c>
      <c r="F2" s="7">
        <f>$B2 * IFERROR(VLOOKUP("transport|PM25|Premature mortality", US_national_yearly!$D:$AM, 14, FALSE) / VLOOKUP("transport|PM25|Premature mortality", US_national_yearly!$D:$AM, 10, FALSE), 1)</f>
        <v>2.1400712806515718E-2</v>
      </c>
      <c r="G2" s="7">
        <f>$B2 * IFERROR(VLOOKUP("transport|PM25|Premature mortality", US_national_yearly!$D:$AM, 15, FALSE) / VLOOKUP("transport|PM25|Premature mortality", US_national_yearly!$D:$AM, 10, FALSE), 1)</f>
        <v>2.1893011578908547E-2</v>
      </c>
      <c r="H2" s="7">
        <f>$B2 * IFERROR(VLOOKUP("transport|PM25|Premature mortality", US_national_yearly!$D:$AM, 16, FALSE) / VLOOKUP("transport|PM25|Premature mortality", US_national_yearly!$D:$AM, 10, FALSE), 1)</f>
        <v>2.2385310351301379E-2</v>
      </c>
      <c r="I2" s="7">
        <f>$B2 * IFERROR(VLOOKUP("transport|PM25|Premature mortality", US_national_yearly!$D:$AM, 17, FALSE) / VLOOKUP("transport|PM25|Premature mortality", US_national_yearly!$D:$AM, 10, FALSE), 1)</f>
        <v>2.2708672908392485E-2</v>
      </c>
      <c r="J2" s="7">
        <f>$B2 * IFERROR(VLOOKUP("transport|PM25|Premature mortality", US_national_yearly!$D:$AM, 18, FALSE) / VLOOKUP("transport|PM25|Premature mortality", US_national_yearly!$D:$AM, 10, FALSE), 1)</f>
        <v>2.3032035465483602E-2</v>
      </c>
      <c r="K2" s="7">
        <f>$B2 * IFERROR(VLOOKUP("transport|PM25|Premature mortality", US_national_yearly!$D:$AM, 19, FALSE) / VLOOKUP("transport|PM25|Premature mortality", US_national_yearly!$D:$AM, 10, FALSE), 1)</f>
        <v>2.3355398022574716E-2</v>
      </c>
      <c r="L2" s="7">
        <f>$B2 * IFERROR(VLOOKUP("transport|PM25|Premature mortality", US_national_yearly!$D:$AM, 20, FALSE) / VLOOKUP("transport|PM25|Premature mortality", US_national_yearly!$D:$AM, 10, FALSE), 1)</f>
        <v>2.3678760579665829E-2</v>
      </c>
      <c r="M2" s="7">
        <f>$B2 * IFERROR(VLOOKUP("transport|PM25|Premature mortality", US_national_yearly!$D:$AM, 21, FALSE) / VLOOKUP("transport|PM25|Premature mortality", US_national_yearly!$D:$AM, 10, FALSE), 1)</f>
        <v>2.4002123136756943E-2</v>
      </c>
      <c r="N2" s="7">
        <f>$B2 * IFERROR(VLOOKUP("transport|PM25|Premature mortality", US_national_yearly!$D:$AM, 22, FALSE) / VLOOKUP("transport|PM25|Premature mortality", US_national_yearly!$D:$AM, 10, FALSE), 1)</f>
        <v>2.4253193582238864E-2</v>
      </c>
      <c r="O2" s="7">
        <f>$B2 * IFERROR(VLOOKUP("transport|PM25|Premature mortality", US_national_yearly!$D:$AM, 23, FALSE) / VLOOKUP("transport|PM25|Premature mortality", US_national_yearly!$D:$AM, 10, FALSE), 1)</f>
        <v>2.4504264027720785E-2</v>
      </c>
      <c r="P2" s="7">
        <f>$B2 * IFERROR(VLOOKUP("transport|PM25|Premature mortality", US_national_yearly!$D:$AM, 24, FALSE) / VLOOKUP("transport|PM25|Premature mortality", US_national_yearly!$D:$AM, 10, FALSE), 1)</f>
        <v>2.4755334473202707E-2</v>
      </c>
      <c r="Q2" s="7">
        <f>$B2 * IFERROR(VLOOKUP("transport|PM25|Premature mortality", US_national_yearly!$D:$AM, 25, FALSE) / VLOOKUP("transport|PM25|Premature mortality", US_national_yearly!$D:$AM, 10, FALSE), 1)</f>
        <v>2.5006404918684631E-2</v>
      </c>
      <c r="R2" s="7">
        <f>$B2 * IFERROR(VLOOKUP("transport|PM25|Premature mortality", US_national_yearly!$D:$AM, 26, FALSE) / VLOOKUP("transport|PM25|Premature mortality", US_national_yearly!$D:$AM, 10, FALSE), 1)</f>
        <v>2.5257475364166556E-2</v>
      </c>
      <c r="S2" s="7">
        <f>$B2 * IFERROR(VLOOKUP("transport|PM25|Premature mortality", US_national_yearly!$D:$AM, 27, FALSE) / VLOOKUP("transport|PM25|Premature mortality", US_national_yearly!$D:$AM, 10, FALSE), 1)</f>
        <v>2.5390485026631313E-2</v>
      </c>
      <c r="T2" s="7">
        <f>$B2 * IFERROR(VLOOKUP("transport|PM25|Premature mortality", US_national_yearly!$D:$AM, 28, FALSE) / VLOOKUP("transport|PM25|Premature mortality", US_national_yearly!$D:$AM, 10, FALSE), 1)</f>
        <v>2.5523494689096062E-2</v>
      </c>
      <c r="U2" s="7">
        <f>$B2 * IFERROR(VLOOKUP("transport|PM25|Premature mortality", US_national_yearly!$D:$AM, 29, FALSE) / VLOOKUP("transport|PM25|Premature mortality", US_national_yearly!$D:$AM, 10, FALSE), 1)</f>
        <v>2.5656504351560815E-2</v>
      </c>
      <c r="V2" s="7">
        <f>$B2 * IFERROR(VLOOKUP("transport|PM25|Premature mortality", US_national_yearly!$D:$AM, 30, FALSE) / VLOOKUP("transport|PM25|Premature mortality", US_national_yearly!$D:$AM, 10, FALSE), 1)</f>
        <v>2.5789514014025565E-2</v>
      </c>
      <c r="W2" s="7">
        <f>$B2 * IFERROR(VLOOKUP("transport|PM25|Premature mortality", US_national_yearly!$D:$AM, 31, FALSE) / VLOOKUP("transport|PM25|Premature mortality", US_national_yearly!$D:$AM, 10, FALSE), 1)</f>
        <v>2.5922523676490318E-2</v>
      </c>
      <c r="X2" s="7">
        <f>$B2 * IFERROR(VLOOKUP("transport|PM25|Premature mortality", US_national_yearly!$D:$AM, 32, FALSE) / VLOOKUP("transport|PM25|Premature mortality", US_national_yearly!$D:$AM, 10, FALSE), 1)</f>
        <v>2.5945781444873296E-2</v>
      </c>
      <c r="Y2" s="7">
        <f>$B2 * IFERROR(VLOOKUP("transport|PM25|Premature mortality", US_national_yearly!$D:$AM, 33, FALSE) / VLOOKUP("transport|PM25|Premature mortality", US_national_yearly!$D:$AM, 10, FALSE), 1)</f>
        <v>2.5969039213256277E-2</v>
      </c>
      <c r="Z2" s="7">
        <f>$B2 * IFERROR(VLOOKUP("transport|PM25|Premature mortality", US_national_yearly!$D:$AM, 34, FALSE) / VLOOKUP("transport|PM25|Premature mortality", US_national_yearly!$D:$AM, 10, FALSE), 1)</f>
        <v>2.5992296981639254E-2</v>
      </c>
      <c r="AA2" s="7">
        <f>$B2 * IFERROR(VLOOKUP("transport|PM25|Premature mortality", US_national_yearly!$D:$AM, 35, FALSE) / VLOOKUP("transport|PM25|Premature mortality", US_national_yearly!$D:$AM, 10, FALSE), 1)</f>
        <v>2.6015554750022235E-2</v>
      </c>
      <c r="AB2" s="7">
        <f>$B2 * IFERROR(VLOOKUP("transport|PM25|Premature mortality", US_national_yearly!$D:$AM, 36, FALSE) / VLOOKUP("transport|PM25|Premature mortality", US_national_yearly!$D:$AM, 10, FALSE), 1)</f>
        <v>2.6038812518405213E-2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5.4239196286827951E-5</v>
      </c>
      <c r="C3" s="7">
        <f>$B3 * IFERROR(VLOOKUP("transport|PM25|Infant mortality", US_national_yearly!$D:$AM, 11, FALSE) / VLOOKUP("transport|PM25|Infant mortality", US_national_yearly!$D:$AM, 10, FALSE), 1)</f>
        <v>5.3766279988826205E-5</v>
      </c>
      <c r="D3" s="7">
        <f>$B3 * IFERROR(VLOOKUP("transport|PM25|Infant mortality", US_national_yearly!$D:$AM, 12, FALSE) / VLOOKUP("transport|PM25|Infant mortality", US_national_yearly!$D:$AM, 10, FALSE), 1)</f>
        <v>5.3293363690824452E-5</v>
      </c>
      <c r="E3" s="7">
        <f>$B3 * IFERROR(VLOOKUP("transport|PM25|Infant mortality", US_national_yearly!$D:$AM, 13, FALSE) / VLOOKUP("transport|PM25|Infant mortality", US_national_yearly!$D:$AM, 10, FALSE), 1)</f>
        <v>5.2820447392822705E-5</v>
      </c>
      <c r="F3" s="7">
        <f>$B3 * IFERROR(VLOOKUP("transport|PM25|Infant mortality", US_national_yearly!$D:$AM, 14, FALSE) / VLOOKUP("transport|PM25|Infant mortality", US_national_yearly!$D:$AM, 10, FALSE), 1)</f>
        <v>5.2347531094820945E-5</v>
      </c>
      <c r="G3" s="7">
        <f>$B3 * IFERROR(VLOOKUP("transport|PM25|Infant mortality", US_national_yearly!$D:$AM, 15, FALSE) / VLOOKUP("transport|PM25|Infant mortality", US_national_yearly!$D:$AM, 10, FALSE), 1)</f>
        <v>3.4813908349890361E-5</v>
      </c>
      <c r="H3" s="7">
        <f>$B3 * IFERROR(VLOOKUP("transport|PM25|Infant mortality", US_national_yearly!$D:$AM, 16, FALSE) / VLOOKUP("transport|PM25|Infant mortality", US_national_yearly!$D:$AM, 10, FALSE), 1)</f>
        <v>1.7280285604959757E-5</v>
      </c>
      <c r="I3" s="7">
        <f>$B3 * IFERROR(VLOOKUP("transport|PM25|Infant mortality", US_national_yearly!$D:$AM, 17, FALSE) / VLOOKUP("transport|PM25|Infant mortality", US_national_yearly!$D:$AM, 10, FALSE), 1)</f>
        <v>1.7167330394045124E-5</v>
      </c>
      <c r="J3" s="7">
        <f>$B3 * IFERROR(VLOOKUP("transport|PM25|Infant mortality", US_national_yearly!$D:$AM, 18, FALSE) / VLOOKUP("transport|PM25|Infant mortality", US_national_yearly!$D:$AM, 10, FALSE), 1)</f>
        <v>1.7054375183130491E-5</v>
      </c>
      <c r="K3" s="7">
        <f>$B3 * IFERROR(VLOOKUP("transport|PM25|Infant mortality", US_national_yearly!$D:$AM, 19, FALSE) / VLOOKUP("transport|PM25|Infant mortality", US_national_yearly!$D:$AM, 10, FALSE), 1)</f>
        <v>1.6941419972215854E-5</v>
      </c>
      <c r="L3" s="7">
        <f>$B3 * IFERROR(VLOOKUP("transport|PM25|Infant mortality", US_national_yearly!$D:$AM, 20, FALSE) / VLOOKUP("transport|PM25|Infant mortality", US_national_yearly!$D:$AM, 10, FALSE), 1)</f>
        <v>1.6828464761301224E-5</v>
      </c>
      <c r="M3" s="7">
        <f>$B3 * IFERROR(VLOOKUP("transport|PM25|Infant mortality", US_national_yearly!$D:$AM, 21, FALSE) / VLOOKUP("transport|PM25|Infant mortality", US_national_yearly!$D:$AM, 10, FALSE), 1)</f>
        <v>1.6715509550386591E-5</v>
      </c>
      <c r="N3" s="7">
        <f>$B3 * IFERROR(VLOOKUP("transport|PM25|Infant mortality", US_national_yearly!$D:$AM, 22, FALSE) / VLOOKUP("transport|PM25|Infant mortality", US_national_yearly!$D:$AM, 10, FALSE), 1)</f>
        <v>1.6644561172569024E-5</v>
      </c>
      <c r="O3" s="7">
        <f>$B3 * IFERROR(VLOOKUP("transport|PM25|Infant mortality", US_national_yearly!$D:$AM, 23, FALSE) / VLOOKUP("transport|PM25|Infant mortality", US_national_yearly!$D:$AM, 10, FALSE), 1)</f>
        <v>1.6573612794751458E-5</v>
      </c>
      <c r="P3" s="7">
        <f>$B3 * IFERROR(VLOOKUP("transport|PM25|Infant mortality", US_national_yearly!$D:$AM, 24, FALSE) / VLOOKUP("transport|PM25|Infant mortality", US_national_yearly!$D:$AM, 10, FALSE), 1)</f>
        <v>1.6502664416933888E-5</v>
      </c>
      <c r="Q3" s="7">
        <f>$B3 * IFERROR(VLOOKUP("transport|PM25|Infant mortality", US_national_yearly!$D:$AM, 25, FALSE) / VLOOKUP("transport|PM25|Infant mortality", US_national_yearly!$D:$AM, 10, FALSE), 1)</f>
        <v>1.6431716039116321E-5</v>
      </c>
      <c r="R3" s="7">
        <f>$B3 * IFERROR(VLOOKUP("transport|PM25|Infant mortality", US_national_yearly!$D:$AM, 26, FALSE) / VLOOKUP("transport|PM25|Infant mortality", US_national_yearly!$D:$AM, 10, FALSE), 1)</f>
        <v>1.6360767661298755E-5</v>
      </c>
      <c r="S3" s="7">
        <f>$B3 * IFERROR(VLOOKUP("transport|PM25|Infant mortality", US_national_yearly!$D:$AM, 27, FALSE) / VLOOKUP("transport|PM25|Infant mortality", US_national_yearly!$D:$AM, 10, FALSE), 1)</f>
        <v>1.627232905769615E-5</v>
      </c>
      <c r="T3" s="7">
        <f>$B3 * IFERROR(VLOOKUP("transport|PM25|Infant mortality", US_national_yearly!$D:$AM, 28, FALSE) / VLOOKUP("transport|PM25|Infant mortality", US_national_yearly!$D:$AM, 10, FALSE), 1)</f>
        <v>1.6183890454093545E-5</v>
      </c>
      <c r="U3" s="7">
        <f>$B3 * IFERROR(VLOOKUP("transport|PM25|Infant mortality", US_national_yearly!$D:$AM, 29, FALSE) / VLOOKUP("transport|PM25|Infant mortality", US_national_yearly!$D:$AM, 10, FALSE), 1)</f>
        <v>1.6095451850490944E-5</v>
      </c>
      <c r="V3" s="7">
        <f>$B3 * IFERROR(VLOOKUP("transport|PM25|Infant mortality", US_national_yearly!$D:$AM, 30, FALSE) / VLOOKUP("transport|PM25|Infant mortality", US_national_yearly!$D:$AM, 10, FALSE), 1)</f>
        <v>1.6007013246888339E-5</v>
      </c>
      <c r="W3" s="7">
        <f>$B3 * IFERROR(VLOOKUP("transport|PM25|Infant mortality", US_national_yearly!$D:$AM, 31, FALSE) / VLOOKUP("transport|PM25|Infant mortality", US_national_yearly!$D:$AM, 10, FALSE), 1)</f>
        <v>1.5918574643285734E-5</v>
      </c>
      <c r="X3" s="7">
        <f>$B3 * IFERROR(VLOOKUP("transport|PM25|Infant mortality", US_national_yearly!$D:$AM, 32, FALSE) / VLOOKUP("transport|PM25|Infant mortality", US_national_yearly!$D:$AM, 10, FALSE), 1)</f>
        <v>1.5823226713035814E-5</v>
      </c>
      <c r="Y3" s="7">
        <f>$B3 * IFERROR(VLOOKUP("transport|PM25|Infant mortality", US_national_yearly!$D:$AM, 33, FALSE) / VLOOKUP("transport|PM25|Infant mortality", US_national_yearly!$D:$AM, 10, FALSE), 1)</f>
        <v>1.5727878782785883E-5</v>
      </c>
      <c r="Z3" s="7">
        <f>$B3 * IFERROR(VLOOKUP("transport|PM25|Infant mortality", US_national_yearly!$D:$AM, 34, FALSE) / VLOOKUP("transport|PM25|Infant mortality", US_national_yearly!$D:$AM, 10, FALSE), 1)</f>
        <v>1.5632530852535963E-5</v>
      </c>
      <c r="AA3" s="7">
        <f>$B3 * IFERROR(VLOOKUP("transport|PM25|Infant mortality", US_national_yearly!$D:$AM, 35, FALSE) / VLOOKUP("transport|PM25|Infant mortality", US_national_yearly!$D:$AM, 10, FALSE), 1)</f>
        <v>1.5537182922286036E-5</v>
      </c>
      <c r="AB3" s="7">
        <f>$B3 * IFERROR(VLOOKUP("transport|PM25|Infant mortality", US_national_yearly!$D:$AM, 36, FALSE) / VLOOKUP("transport|PM25|Infant mortality", US_national_yearly!$D:$AM, 10, FALSE), 1)</f>
        <v>1.5441834992036116E-5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6.266270875520201E-2</v>
      </c>
      <c r="C6" s="7">
        <f>$B6 * IFERROR(VLOOKUP("transport|PM25|Asthma symptoms cough", US_national_yearly!$D:$AM, 11, FALSE) / VLOOKUP("transport|PM25|Asthma symptoms cough", US_national_yearly!$D:$AM, 10, FALSE), 1)</f>
        <v>6.266270875520201E-2</v>
      </c>
      <c r="D6" s="7">
        <f>$B6 * IFERROR(VLOOKUP("transport|PM25|Asthma symptoms cough", US_national_yearly!$D:$AM, 12, FALSE) / VLOOKUP("transport|PM25|Asthma symptoms cough", US_national_yearly!$D:$AM, 10, FALSE), 1)</f>
        <v>6.266270875520201E-2</v>
      </c>
      <c r="E6" s="7">
        <f>$B6 * IFERROR(VLOOKUP("transport|PM25|Asthma symptoms cough", US_national_yearly!$D:$AM, 13, FALSE) / VLOOKUP("transport|PM25|Asthma symptoms cough", US_national_yearly!$D:$AM, 10, FALSE), 1)</f>
        <v>6.266270875520201E-2</v>
      </c>
      <c r="F6" s="7">
        <f>$B6 * IFERROR(VLOOKUP("transport|PM25|Asthma symptoms cough", US_national_yearly!$D:$AM, 14, FALSE) / VLOOKUP("transport|PM25|Asthma symptoms cough", US_national_yearly!$D:$AM, 10, FALSE), 1)</f>
        <v>6.266270875520201E-2</v>
      </c>
      <c r="G6" s="7">
        <f>$B6 * IFERROR(VLOOKUP("transport|PM25|Asthma symptoms cough", US_national_yearly!$D:$AM, 15, FALSE) / VLOOKUP("transport|PM25|Asthma symptoms cough", US_national_yearly!$D:$AM, 10, FALSE), 1)</f>
        <v>6.266270875520201E-2</v>
      </c>
      <c r="H6" s="7">
        <f>$B6 * IFERROR(VLOOKUP("transport|PM25|Asthma symptoms cough", US_national_yearly!$D:$AM, 16, FALSE) / VLOOKUP("transport|PM25|Asthma symptoms cough", US_national_yearly!$D:$AM, 10, FALSE), 1)</f>
        <v>6.266270875520201E-2</v>
      </c>
      <c r="I6" s="7">
        <f>$B6 * IFERROR(VLOOKUP("transport|PM25|Asthma symptoms cough", US_national_yearly!$D:$AM, 17, FALSE) / VLOOKUP("transport|PM25|Asthma symptoms cough", US_national_yearly!$D:$AM, 10, FALSE), 1)</f>
        <v>6.266270875520201E-2</v>
      </c>
      <c r="J6" s="7">
        <f>$B6 * IFERROR(VLOOKUP("transport|PM25|Asthma symptoms cough", US_national_yearly!$D:$AM, 18, FALSE) / VLOOKUP("transport|PM25|Asthma symptoms cough", US_national_yearly!$D:$AM, 10, FALSE), 1)</f>
        <v>6.266270875520201E-2</v>
      </c>
      <c r="K6" s="7">
        <f>$B6 * IFERROR(VLOOKUP("transport|PM25|Asthma symptoms cough", US_national_yearly!$D:$AM, 19, FALSE) / VLOOKUP("transport|PM25|Asthma symptoms cough", US_national_yearly!$D:$AM, 10, FALSE), 1)</f>
        <v>6.266270875520201E-2</v>
      </c>
      <c r="L6" s="7">
        <f>$B6 * IFERROR(VLOOKUP("transport|PM25|Asthma symptoms cough", US_national_yearly!$D:$AM, 20, FALSE) / VLOOKUP("transport|PM25|Asthma symptoms cough", US_national_yearly!$D:$AM, 10, FALSE), 1)</f>
        <v>6.266270875520201E-2</v>
      </c>
      <c r="M6" s="7">
        <f>$B6 * IFERROR(VLOOKUP("transport|PM25|Asthma symptoms cough", US_national_yearly!$D:$AM, 21, FALSE) / VLOOKUP("transport|PM25|Asthma symptoms cough", US_national_yearly!$D:$AM, 10, FALSE), 1)</f>
        <v>6.266270875520201E-2</v>
      </c>
      <c r="N6" s="7">
        <f>$B6 * IFERROR(VLOOKUP("transport|PM25|Asthma symptoms cough", US_national_yearly!$D:$AM, 22, FALSE) / VLOOKUP("transport|PM25|Asthma symptoms cough", US_national_yearly!$D:$AM, 10, FALSE), 1)</f>
        <v>6.266270875520201E-2</v>
      </c>
      <c r="O6" s="7">
        <f>$B6 * IFERROR(VLOOKUP("transport|PM25|Asthma symptoms cough", US_national_yearly!$D:$AM, 23, FALSE) / VLOOKUP("transport|PM25|Asthma symptoms cough", US_national_yearly!$D:$AM, 10, FALSE), 1)</f>
        <v>6.266270875520201E-2</v>
      </c>
      <c r="P6" s="7">
        <f>$B6 * IFERROR(VLOOKUP("transport|PM25|Asthma symptoms cough", US_national_yearly!$D:$AM, 24, FALSE) / VLOOKUP("transport|PM25|Asthma symptoms cough", US_national_yearly!$D:$AM, 10, FALSE), 1)</f>
        <v>6.266270875520201E-2</v>
      </c>
      <c r="Q6" s="7">
        <f>$B6 * IFERROR(VLOOKUP("transport|PM25|Asthma symptoms cough", US_national_yearly!$D:$AM, 25, FALSE) / VLOOKUP("transport|PM25|Asthma symptoms cough", US_national_yearly!$D:$AM, 10, FALSE), 1)</f>
        <v>6.266270875520201E-2</v>
      </c>
      <c r="R6" s="7">
        <f>$B6 * IFERROR(VLOOKUP("transport|PM25|Asthma symptoms cough", US_national_yearly!$D:$AM, 26, FALSE) / VLOOKUP("transport|PM25|Asthma symptoms cough", US_national_yearly!$D:$AM, 10, FALSE), 1)</f>
        <v>6.266270875520201E-2</v>
      </c>
      <c r="S6" s="7">
        <f>$B6 * IFERROR(VLOOKUP("transport|PM25|Asthma symptoms cough", US_national_yearly!$D:$AM, 27, FALSE) / VLOOKUP("transport|PM25|Asthma symptoms cough", US_national_yearly!$D:$AM, 10, FALSE), 1)</f>
        <v>6.266270875520201E-2</v>
      </c>
      <c r="T6" s="7">
        <f>$B6 * IFERROR(VLOOKUP("transport|PM25|Asthma symptoms cough", US_national_yearly!$D:$AM, 28, FALSE) / VLOOKUP("transport|PM25|Asthma symptoms cough", US_national_yearly!$D:$AM, 10, FALSE), 1)</f>
        <v>6.266270875520201E-2</v>
      </c>
      <c r="U6" s="7">
        <f>$B6 * IFERROR(VLOOKUP("transport|PM25|Asthma symptoms cough", US_national_yearly!$D:$AM, 29, FALSE) / VLOOKUP("transport|PM25|Asthma symptoms cough", US_national_yearly!$D:$AM, 10, FALSE), 1)</f>
        <v>6.266270875520201E-2</v>
      </c>
      <c r="V6" s="7">
        <f>$B6 * IFERROR(VLOOKUP("transport|PM25|Asthma symptoms cough", US_national_yearly!$D:$AM, 30, FALSE) / VLOOKUP("transport|PM25|Asthma symptoms cough", US_national_yearly!$D:$AM, 10, FALSE), 1)</f>
        <v>6.266270875520201E-2</v>
      </c>
      <c r="W6" s="7">
        <f>$B6 * IFERROR(VLOOKUP("transport|PM25|Asthma symptoms cough", US_national_yearly!$D:$AM, 31, FALSE) / VLOOKUP("transport|PM25|Asthma symptoms cough", US_national_yearly!$D:$AM, 10, FALSE), 1)</f>
        <v>6.266270875520201E-2</v>
      </c>
      <c r="X6" s="7">
        <f>$B6 * IFERROR(VLOOKUP("transport|PM25|Asthma symptoms cough", US_national_yearly!$D:$AM, 32, FALSE) / VLOOKUP("transport|PM25|Asthma symptoms cough", US_national_yearly!$D:$AM, 10, FALSE), 1)</f>
        <v>6.266270875520201E-2</v>
      </c>
      <c r="Y6" s="7">
        <f>$B6 * IFERROR(VLOOKUP("transport|PM25|Asthma symptoms cough", US_national_yearly!$D:$AM, 33, FALSE) / VLOOKUP("transport|PM25|Asthma symptoms cough", US_national_yearly!$D:$AM, 10, FALSE), 1)</f>
        <v>6.266270875520201E-2</v>
      </c>
      <c r="Z6" s="7">
        <f>$B6 * IFERROR(VLOOKUP("transport|PM25|Asthma symptoms cough", US_national_yearly!$D:$AM, 34, FALSE) / VLOOKUP("transport|PM25|Asthma symptoms cough", US_national_yearly!$D:$AM, 10, FALSE), 1)</f>
        <v>6.266270875520201E-2</v>
      </c>
      <c r="AA6" s="7">
        <f>$B6 * IFERROR(VLOOKUP("transport|PM25|Asthma symptoms cough", US_national_yearly!$D:$AM, 35, FALSE) / VLOOKUP("transport|PM25|Asthma symptoms cough", US_national_yearly!$D:$AM, 10, FALSE), 1)</f>
        <v>6.266270875520201E-2</v>
      </c>
      <c r="AB6" s="7">
        <f>$B6 * IFERROR(VLOOKUP("transport|PM25|Asthma symptoms cough", US_national_yearly!$D:$AM, 36, FALSE) / VLOOKUP("transport|PM25|Asthma symptoms cough", US_national_yearly!$D:$AM, 10, FALSE), 1)</f>
        <v>6.266270875520201E-2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8.4381765049107313E-2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8.4381765049107313E-2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8.4381765049107313E-2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8.4381765049107313E-2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8.4381765049107313E-2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8.4381765049107313E-2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8.4381765049107313E-2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8.4381765049107313E-2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8.4381765049107313E-2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8.4381765049107313E-2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8.4381765049107313E-2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8.4381765049107313E-2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8.4381765049107313E-2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8.4381765049107313E-2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8.4381765049107313E-2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8.4381765049107313E-2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8.4381765049107313E-2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8.4381765049107313E-2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8.4381765049107313E-2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8.4381765049107313E-2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8.4381765049107313E-2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8.4381765049107313E-2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8.4381765049107313E-2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8.4381765049107313E-2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8.4381765049107313E-2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8.4381765049107313E-2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8.4381765049107313E-2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0.12893053803420151</v>
      </c>
      <c r="C8" s="7">
        <f>$B8 * IFERROR(VLOOKUP("transport|PM25|Asthma symptoms wheeze", US_national_yearly!$D:$AM, 11, FALSE) / VLOOKUP("transport|PM25|Asthma symptoms wheeze", US_national_yearly!$D:$AM, 10, FALSE), 1)</f>
        <v>0.12893053803420151</v>
      </c>
      <c r="D8" s="7">
        <f>$B8 * IFERROR(VLOOKUP("transport|PM25|Asthma symptoms wheeze", US_national_yearly!$D:$AM, 12, FALSE) / VLOOKUP("transport|PM25|Asthma symptoms wheeze", US_national_yearly!$D:$AM, 10, FALSE), 1)</f>
        <v>0.12893053803420151</v>
      </c>
      <c r="E8" s="7">
        <f>$B8 * IFERROR(VLOOKUP("transport|PM25|Asthma symptoms wheeze", US_national_yearly!$D:$AM, 13, FALSE) / VLOOKUP("transport|PM25|Asthma symptoms wheeze", US_national_yearly!$D:$AM, 10, FALSE), 1)</f>
        <v>0.12893053803420151</v>
      </c>
      <c r="F8" s="7">
        <f>$B8 * IFERROR(VLOOKUP("transport|PM25|Asthma symptoms wheeze", US_national_yearly!$D:$AM, 14, FALSE) / VLOOKUP("transport|PM25|Asthma symptoms wheeze", US_national_yearly!$D:$AM, 10, FALSE), 1)</f>
        <v>0.12893053803420151</v>
      </c>
      <c r="G8" s="7">
        <f>$B8 * IFERROR(VLOOKUP("transport|PM25|Asthma symptoms wheeze", US_national_yearly!$D:$AM, 15, FALSE) / VLOOKUP("transport|PM25|Asthma symptoms wheeze", US_national_yearly!$D:$AM, 10, FALSE), 1)</f>
        <v>0.12893053803420151</v>
      </c>
      <c r="H8" s="7">
        <f>$B8 * IFERROR(VLOOKUP("transport|PM25|Asthma symptoms wheeze", US_national_yearly!$D:$AM, 16, FALSE) / VLOOKUP("transport|PM25|Asthma symptoms wheeze", US_national_yearly!$D:$AM, 10, FALSE), 1)</f>
        <v>0.12893053803420151</v>
      </c>
      <c r="I8" s="7">
        <f>$B8 * IFERROR(VLOOKUP("transport|PM25|Asthma symptoms wheeze", US_national_yearly!$D:$AM, 17, FALSE) / VLOOKUP("transport|PM25|Asthma symptoms wheeze", US_national_yearly!$D:$AM, 10, FALSE), 1)</f>
        <v>0.12893053803420151</v>
      </c>
      <c r="J8" s="7">
        <f>$B8 * IFERROR(VLOOKUP("transport|PM25|Asthma symptoms wheeze", US_national_yearly!$D:$AM, 18, FALSE) / VLOOKUP("transport|PM25|Asthma symptoms wheeze", US_national_yearly!$D:$AM, 10, FALSE), 1)</f>
        <v>0.12893053803420151</v>
      </c>
      <c r="K8" s="7">
        <f>$B8 * IFERROR(VLOOKUP("transport|PM25|Asthma symptoms wheeze", US_national_yearly!$D:$AM, 19, FALSE) / VLOOKUP("transport|PM25|Asthma symptoms wheeze", US_national_yearly!$D:$AM, 10, FALSE), 1)</f>
        <v>0.12893053803420151</v>
      </c>
      <c r="L8" s="7">
        <f>$B8 * IFERROR(VLOOKUP("transport|PM25|Asthma symptoms wheeze", US_national_yearly!$D:$AM, 20, FALSE) / VLOOKUP("transport|PM25|Asthma symptoms wheeze", US_national_yearly!$D:$AM, 10, FALSE), 1)</f>
        <v>0.12893053803420151</v>
      </c>
      <c r="M8" s="7">
        <f>$B8 * IFERROR(VLOOKUP("transport|PM25|Asthma symptoms wheeze", US_national_yearly!$D:$AM, 21, FALSE) / VLOOKUP("transport|PM25|Asthma symptoms wheeze", US_national_yearly!$D:$AM, 10, FALSE), 1)</f>
        <v>0.12893053803420151</v>
      </c>
      <c r="N8" s="7">
        <f>$B8 * IFERROR(VLOOKUP("transport|PM25|Asthma symptoms wheeze", US_national_yearly!$D:$AM, 22, FALSE) / VLOOKUP("transport|PM25|Asthma symptoms wheeze", US_national_yearly!$D:$AM, 10, FALSE), 1)</f>
        <v>0.12893053803420151</v>
      </c>
      <c r="O8" s="7">
        <f>$B8 * IFERROR(VLOOKUP("transport|PM25|Asthma symptoms wheeze", US_national_yearly!$D:$AM, 23, FALSE) / VLOOKUP("transport|PM25|Asthma symptoms wheeze", US_national_yearly!$D:$AM, 10, FALSE), 1)</f>
        <v>0.12893053803420151</v>
      </c>
      <c r="P8" s="7">
        <f>$B8 * IFERROR(VLOOKUP("transport|PM25|Asthma symptoms wheeze", US_national_yearly!$D:$AM, 24, FALSE) / VLOOKUP("transport|PM25|Asthma symptoms wheeze", US_national_yearly!$D:$AM, 10, FALSE), 1)</f>
        <v>0.12893053803420151</v>
      </c>
      <c r="Q8" s="7">
        <f>$B8 * IFERROR(VLOOKUP("transport|PM25|Asthma symptoms wheeze", US_national_yearly!$D:$AM, 25, FALSE) / VLOOKUP("transport|PM25|Asthma symptoms wheeze", US_national_yearly!$D:$AM, 10, FALSE), 1)</f>
        <v>0.12893053803420151</v>
      </c>
      <c r="R8" s="7">
        <f>$B8 * IFERROR(VLOOKUP("transport|PM25|Asthma symptoms wheeze", US_national_yearly!$D:$AM, 26, FALSE) / VLOOKUP("transport|PM25|Asthma symptoms wheeze", US_national_yearly!$D:$AM, 10, FALSE), 1)</f>
        <v>0.12893053803420151</v>
      </c>
      <c r="S8" s="7">
        <f>$B8 * IFERROR(VLOOKUP("transport|PM25|Asthma symptoms wheeze", US_national_yearly!$D:$AM, 27, FALSE) / VLOOKUP("transport|PM25|Asthma symptoms wheeze", US_national_yearly!$D:$AM, 10, FALSE), 1)</f>
        <v>0.12893053803420151</v>
      </c>
      <c r="T8" s="7">
        <f>$B8 * IFERROR(VLOOKUP("transport|PM25|Asthma symptoms wheeze", US_national_yearly!$D:$AM, 28, FALSE) / VLOOKUP("transport|PM25|Asthma symptoms wheeze", US_national_yearly!$D:$AM, 10, FALSE), 1)</f>
        <v>0.12893053803420151</v>
      </c>
      <c r="U8" s="7">
        <f>$B8 * IFERROR(VLOOKUP("transport|PM25|Asthma symptoms wheeze", US_national_yearly!$D:$AM, 29, FALSE) / VLOOKUP("transport|PM25|Asthma symptoms wheeze", US_national_yearly!$D:$AM, 10, FALSE), 1)</f>
        <v>0.12893053803420151</v>
      </c>
      <c r="V8" s="7">
        <f>$B8 * IFERROR(VLOOKUP("transport|PM25|Asthma symptoms wheeze", US_national_yearly!$D:$AM, 30, FALSE) / VLOOKUP("transport|PM25|Asthma symptoms wheeze", US_national_yearly!$D:$AM, 10, FALSE), 1)</f>
        <v>0.12893053803420151</v>
      </c>
      <c r="W8" s="7">
        <f>$B8 * IFERROR(VLOOKUP("transport|PM25|Asthma symptoms wheeze", US_national_yearly!$D:$AM, 31, FALSE) / VLOOKUP("transport|PM25|Asthma symptoms wheeze", US_national_yearly!$D:$AM, 10, FALSE), 1)</f>
        <v>0.12893053803420151</v>
      </c>
      <c r="X8" s="7">
        <f>$B8 * IFERROR(VLOOKUP("transport|PM25|Asthma symptoms wheeze", US_national_yearly!$D:$AM, 32, FALSE) / VLOOKUP("transport|PM25|Asthma symptoms wheeze", US_national_yearly!$D:$AM, 10, FALSE), 1)</f>
        <v>0.12893053803420151</v>
      </c>
      <c r="Y8" s="7">
        <f>$B8 * IFERROR(VLOOKUP("transport|PM25|Asthma symptoms wheeze", US_national_yearly!$D:$AM, 33, FALSE) / VLOOKUP("transport|PM25|Asthma symptoms wheeze", US_national_yearly!$D:$AM, 10, FALSE), 1)</f>
        <v>0.12893053803420151</v>
      </c>
      <c r="Z8" s="7">
        <f>$B8 * IFERROR(VLOOKUP("transport|PM25|Asthma symptoms wheeze", US_national_yearly!$D:$AM, 34, FALSE) / VLOOKUP("transport|PM25|Asthma symptoms wheeze", US_national_yearly!$D:$AM, 10, FALSE), 1)</f>
        <v>0.12893053803420151</v>
      </c>
      <c r="AA8" s="7">
        <f>$B8 * IFERROR(VLOOKUP("transport|PM25|Asthma symptoms wheeze", US_national_yearly!$D:$AM, 35, FALSE) / VLOOKUP("transport|PM25|Asthma symptoms wheeze", US_national_yearly!$D:$AM, 10, FALSE), 1)</f>
        <v>0.12893053803420151</v>
      </c>
      <c r="AB8" s="7">
        <f>$B8 * IFERROR(VLOOKUP("transport|PM25|Asthma symptoms wheeze", US_national_yearly!$D:$AM, 36, FALSE) / VLOOKUP("transport|PM25|Asthma symptoms wheeze", US_national_yearly!$D:$AM, 10, FALSE), 1)</f>
        <v>0.12893053803420151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1.3002930958163083E-3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1.307745851749355E-3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1.3151986076824014E-3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1.3226513636154481E-3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1.3301041195484943E-3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1.3381534138555435E-3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1.3462027081625925E-3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1.3538935030520183E-3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1.3615842979414446E-3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1.3692750928308707E-3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1.376965887720297E-3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1.3846566826097226E-3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1.3901765905333253E-3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1.3956964984569275E-3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1.4012164063805295E-3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1.4067363143041318E-3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1.4122562222277344E-3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1.4175119019175142E-3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1.4227675816072941E-3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1.4280232612970737E-3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1.4332789409868534E-3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1.4385346206766331E-3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1.4435906515805456E-3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1.4486466824844579E-3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1.4537027133883702E-3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1.4587587442922822E-3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1.4638147751961945E-3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8.7041936122591781E-3</v>
      </c>
      <c r="C13" s="7">
        <f>$B13 * IFERROR(VLOOKUP("transport|PM25|Non-fatal heart attacks", US_national_yearly!$D:$AM, 11, FALSE) / VLOOKUP("transport|PM25|Non-fatal heart attacks", US_national_yearly!$D:$AM, 10, FALSE), 1)</f>
        <v>8.9572476188538013E-3</v>
      </c>
      <c r="D13" s="7">
        <f>$B13 * IFERROR(VLOOKUP("transport|PM25|Non-fatal heart attacks", US_national_yearly!$D:$AM, 12, FALSE) / VLOOKUP("transport|PM25|Non-fatal heart attacks", US_national_yearly!$D:$AM, 10, FALSE), 1)</f>
        <v>9.2103016254484263E-3</v>
      </c>
      <c r="E13" s="7">
        <f>$B13 * IFERROR(VLOOKUP("transport|PM25|Non-fatal heart attacks", US_national_yearly!$D:$AM, 13, FALSE) / VLOOKUP("transport|PM25|Non-fatal heart attacks", US_national_yearly!$D:$AM, 10, FALSE), 1)</f>
        <v>9.4633556320430478E-3</v>
      </c>
      <c r="F13" s="7">
        <f>$B13 * IFERROR(VLOOKUP("transport|PM25|Non-fatal heart attacks", US_national_yearly!$D:$AM, 14, FALSE) / VLOOKUP("transport|PM25|Non-fatal heart attacks", US_national_yearly!$D:$AM, 10, FALSE), 1)</f>
        <v>9.7164096386376745E-3</v>
      </c>
      <c r="G13" s="7">
        <f>$B13 * IFERROR(VLOOKUP("transport|PM25|Non-fatal heart attacks", US_national_yearly!$D:$AM, 15, FALSE) / VLOOKUP("transport|PM25|Non-fatal heart attacks", US_national_yearly!$D:$AM, 10, FALSE), 1)</f>
        <v>9.9550555646205508E-3</v>
      </c>
      <c r="H13" s="7">
        <f>$B13 * IFERROR(VLOOKUP("transport|PM25|Non-fatal heart attacks", US_national_yearly!$D:$AM, 16, FALSE) / VLOOKUP("transport|PM25|Non-fatal heart attacks", US_national_yearly!$D:$AM, 10, FALSE), 1)</f>
        <v>1.0193701490603425E-2</v>
      </c>
      <c r="I13" s="7">
        <f>$B13 * IFERROR(VLOOKUP("transport|PM25|Non-fatal heart attacks", US_national_yearly!$D:$AM, 17, FALSE) / VLOOKUP("transport|PM25|Non-fatal heart attacks", US_national_yearly!$D:$AM, 10, FALSE), 1)</f>
        <v>1.0385493404467223E-2</v>
      </c>
      <c r="J13" s="7">
        <f>$B13 * IFERROR(VLOOKUP("transport|PM25|Non-fatal heart attacks", US_national_yearly!$D:$AM, 18, FALSE) / VLOOKUP("transport|PM25|Non-fatal heart attacks", US_national_yearly!$D:$AM, 10, FALSE), 1)</f>
        <v>1.057728531833102E-2</v>
      </c>
      <c r="K13" s="7">
        <f>$B13 * IFERROR(VLOOKUP("transport|PM25|Non-fatal heart attacks", US_national_yearly!$D:$AM, 19, FALSE) / VLOOKUP("transport|PM25|Non-fatal heart attacks", US_national_yearly!$D:$AM, 10, FALSE), 1)</f>
        <v>1.0769077232194819E-2</v>
      </c>
      <c r="L13" s="7">
        <f>$B13 * IFERROR(VLOOKUP("transport|PM25|Non-fatal heart attacks", US_national_yearly!$D:$AM, 20, FALSE) / VLOOKUP("transport|PM25|Non-fatal heart attacks", US_national_yearly!$D:$AM, 10, FALSE), 1)</f>
        <v>1.0960869146058616E-2</v>
      </c>
      <c r="M13" s="7">
        <f>$B13 * IFERROR(VLOOKUP("transport|PM25|Non-fatal heart attacks", US_national_yearly!$D:$AM, 21, FALSE) / VLOOKUP("transport|PM25|Non-fatal heart attacks", US_national_yearly!$D:$AM, 10, FALSE), 1)</f>
        <v>1.1152661059922415E-2</v>
      </c>
      <c r="N13" s="7">
        <f>$B13 * IFERROR(VLOOKUP("transport|PM25|Non-fatal heart attacks", US_national_yearly!$D:$AM, 22, FALSE) / VLOOKUP("transport|PM25|Non-fatal heart attacks", US_national_yearly!$D:$AM, 10, FALSE), 1)</f>
        <v>1.1276347905780032E-2</v>
      </c>
      <c r="O13" s="7">
        <f>$B13 * IFERROR(VLOOKUP("transport|PM25|Non-fatal heart attacks", US_national_yearly!$D:$AM, 23, FALSE) / VLOOKUP("transport|PM25|Non-fatal heart attacks", US_national_yearly!$D:$AM, 10, FALSE), 1)</f>
        <v>1.140003475163765E-2</v>
      </c>
      <c r="P13" s="7">
        <f>$B13 * IFERROR(VLOOKUP("transport|PM25|Non-fatal heart attacks", US_national_yearly!$D:$AM, 24, FALSE) / VLOOKUP("transport|PM25|Non-fatal heart attacks", US_national_yearly!$D:$AM, 10, FALSE), 1)</f>
        <v>1.1523721597495269E-2</v>
      </c>
      <c r="Q13" s="7">
        <f>$B13 * IFERROR(VLOOKUP("transport|PM25|Non-fatal heart attacks", US_national_yearly!$D:$AM, 25, FALSE) / VLOOKUP("transport|PM25|Non-fatal heart attacks", US_national_yearly!$D:$AM, 10, FALSE), 1)</f>
        <v>1.1647408443352885E-2</v>
      </c>
      <c r="R13" s="7">
        <f>$B13 * IFERROR(VLOOKUP("transport|PM25|Non-fatal heart attacks", US_national_yearly!$D:$AM, 26, FALSE) / VLOOKUP("transport|PM25|Non-fatal heart attacks", US_national_yearly!$D:$AM, 10, FALSE), 1)</f>
        <v>1.1771095289210505E-2</v>
      </c>
      <c r="S13" s="7">
        <f>$B13 * IFERROR(VLOOKUP("transport|PM25|Non-fatal heart attacks", US_national_yearly!$D:$AM, 27, FALSE) / VLOOKUP("transport|PM25|Non-fatal heart attacks", US_national_yearly!$D:$AM, 10, FALSE), 1)</f>
        <v>1.1836232315945343E-2</v>
      </c>
      <c r="T13" s="7">
        <f>$B13 * IFERROR(VLOOKUP("transport|PM25|Non-fatal heart attacks", US_national_yearly!$D:$AM, 28, FALSE) / VLOOKUP("transport|PM25|Non-fatal heart attacks", US_national_yearly!$D:$AM, 10, FALSE), 1)</f>
        <v>1.1901369342680186E-2</v>
      </c>
      <c r="U13" s="7">
        <f>$B13 * IFERROR(VLOOKUP("transport|PM25|Non-fatal heart attacks", US_national_yearly!$D:$AM, 29, FALSE) / VLOOKUP("transport|PM25|Non-fatal heart attacks", US_national_yearly!$D:$AM, 10, FALSE), 1)</f>
        <v>1.1966506369415028E-2</v>
      </c>
      <c r="V13" s="7">
        <f>$B13 * IFERROR(VLOOKUP("transport|PM25|Non-fatal heart attacks", US_national_yearly!$D:$AM, 30, FALSE) / VLOOKUP("transport|PM25|Non-fatal heart attacks", US_national_yearly!$D:$AM, 10, FALSE), 1)</f>
        <v>1.203164339614987E-2</v>
      </c>
      <c r="W13" s="7">
        <f>$B13 * IFERROR(VLOOKUP("transport|PM25|Non-fatal heart attacks", US_national_yearly!$D:$AM, 31, FALSE) / VLOOKUP("transport|PM25|Non-fatal heart attacks", US_national_yearly!$D:$AM, 10, FALSE), 1)</f>
        <v>1.209678042288471E-2</v>
      </c>
      <c r="X13" s="7">
        <f>$B13 * IFERROR(VLOOKUP("transport|PM25|Non-fatal heart attacks", US_national_yearly!$D:$AM, 32, FALSE) / VLOOKUP("transport|PM25|Non-fatal heart attacks", US_national_yearly!$D:$AM, 10, FALSE), 1)</f>
        <v>1.214622884479695E-2</v>
      </c>
      <c r="Y13" s="7">
        <f>$B13 * IFERROR(VLOOKUP("transport|PM25|Non-fatal heart attacks", US_national_yearly!$D:$AM, 33, FALSE) / VLOOKUP("transport|PM25|Non-fatal heart attacks", US_national_yearly!$D:$AM, 10, FALSE), 1)</f>
        <v>1.219567726670919E-2</v>
      </c>
      <c r="Z13" s="7">
        <f>$B13 * IFERROR(VLOOKUP("transport|PM25|Non-fatal heart attacks", US_national_yearly!$D:$AM, 34, FALSE) / VLOOKUP("transport|PM25|Non-fatal heart attacks", US_national_yearly!$D:$AM, 10, FALSE), 1)</f>
        <v>1.2245125688621428E-2</v>
      </c>
      <c r="AA13" s="7">
        <f>$B13 * IFERROR(VLOOKUP("transport|PM25|Non-fatal heart attacks", US_national_yearly!$D:$AM, 35, FALSE) / VLOOKUP("transport|PM25|Non-fatal heart attacks", US_national_yearly!$D:$AM, 10, FALSE), 1)</f>
        <v>1.2294574110533668E-2</v>
      </c>
      <c r="AB13" s="7">
        <f>$B13 * IFERROR(VLOOKUP("transport|PM25|Non-fatal heart attacks", US_national_yearly!$D:$AM, 36, FALSE) / VLOOKUP("transport|PM25|Non-fatal heart attacks", US_national_yearly!$D:$AM, 10, FALSE), 1)</f>
        <v>1.2344022532445906E-2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7.761231373814752</v>
      </c>
      <c r="C14" s="7">
        <f>$B14 * IFERROR(VLOOKUP("transport|PM25|Minor restricted activity days", US_national_yearly!$D:$AM, 11, FALSE) / VLOOKUP("transport|PM25|Minor restricted activity days", US_national_yearly!$D:$AM, 10, FALSE), 1)</f>
        <v>7.7801852212408962</v>
      </c>
      <c r="D14" s="7">
        <f>$B14 * IFERROR(VLOOKUP("transport|PM25|Minor restricted activity days", US_national_yearly!$D:$AM, 12, FALSE) / VLOOKUP("transport|PM25|Minor restricted activity days", US_national_yearly!$D:$AM, 10, FALSE), 1)</f>
        <v>7.7991390686670394</v>
      </c>
      <c r="E14" s="7">
        <f>$B14 * IFERROR(VLOOKUP("transport|PM25|Minor restricted activity days", US_national_yearly!$D:$AM, 13, FALSE) / VLOOKUP("transport|PM25|Minor restricted activity days", US_national_yearly!$D:$AM, 10, FALSE), 1)</f>
        <v>7.8180929160931854</v>
      </c>
      <c r="F14" s="7">
        <f>$B14 * IFERROR(VLOOKUP("transport|PM25|Minor restricted activity days", US_national_yearly!$D:$AM, 14, FALSE) / VLOOKUP("transport|PM25|Minor restricted activity days", US_national_yearly!$D:$AM, 10, FALSE), 1)</f>
        <v>7.8370467635193277</v>
      </c>
      <c r="G14" s="7">
        <f>$B14 * IFERROR(VLOOKUP("transport|PM25|Minor restricted activity days", US_national_yearly!$D:$AM, 15, FALSE) / VLOOKUP("transport|PM25|Minor restricted activity days", US_national_yearly!$D:$AM, 10, FALSE), 1)</f>
        <v>7.8650125981571053</v>
      </c>
      <c r="H14" s="7">
        <f>$B14 * IFERROR(VLOOKUP("transport|PM25|Minor restricted activity days", US_national_yearly!$D:$AM, 16, FALSE) / VLOOKUP("transport|PM25|Minor restricted activity days", US_national_yearly!$D:$AM, 10, FALSE), 1)</f>
        <v>7.8929784327948829</v>
      </c>
      <c r="I14" s="7">
        <f>$B14 * IFERROR(VLOOKUP("transport|PM25|Minor restricted activity days", US_national_yearly!$D:$AM, 17, FALSE) / VLOOKUP("transport|PM25|Minor restricted activity days", US_national_yearly!$D:$AM, 10, FALSE), 1)</f>
        <v>7.9407872036540601</v>
      </c>
      <c r="J14" s="7">
        <f>$B14 * IFERROR(VLOOKUP("transport|PM25|Minor restricted activity days", US_national_yearly!$D:$AM, 18, FALSE) / VLOOKUP("transport|PM25|Minor restricted activity days", US_national_yearly!$D:$AM, 10, FALSE), 1)</f>
        <v>7.9885959745132338</v>
      </c>
      <c r="K14" s="7">
        <f>$B14 * IFERROR(VLOOKUP("transport|PM25|Minor restricted activity days", US_national_yearly!$D:$AM, 19, FALSE) / VLOOKUP("transport|PM25|Minor restricted activity days", US_national_yearly!$D:$AM, 10, FALSE), 1)</f>
        <v>8.0364047453724101</v>
      </c>
      <c r="L14" s="7">
        <f>$B14 * IFERROR(VLOOKUP("transport|PM25|Minor restricted activity days", US_national_yearly!$D:$AM, 20, FALSE) / VLOOKUP("transport|PM25|Minor restricted activity days", US_national_yearly!$D:$AM, 10, FALSE), 1)</f>
        <v>8.0842135162315856</v>
      </c>
      <c r="M14" s="7">
        <f>$B14 * IFERROR(VLOOKUP("transport|PM25|Minor restricted activity days", US_national_yearly!$D:$AM, 21, FALSE) / VLOOKUP("transport|PM25|Minor restricted activity days", US_national_yearly!$D:$AM, 10, FALSE), 1)</f>
        <v>8.132022287090761</v>
      </c>
      <c r="N14" s="7">
        <f>$B14 * IFERROR(VLOOKUP("transport|PM25|Minor restricted activity days", US_national_yearly!$D:$AM, 22, FALSE) / VLOOKUP("transport|PM25|Minor restricted activity days", US_national_yearly!$D:$AM, 10, FALSE), 1)</f>
        <v>8.1971473517103082</v>
      </c>
      <c r="O14" s="7">
        <f>$B14 * IFERROR(VLOOKUP("transport|PM25|Minor restricted activity days", US_national_yearly!$D:$AM, 23, FALSE) / VLOOKUP("transport|PM25|Minor restricted activity days", US_national_yearly!$D:$AM, 10, FALSE), 1)</f>
        <v>8.2622724163298535</v>
      </c>
      <c r="P14" s="7">
        <f>$B14 * IFERROR(VLOOKUP("transport|PM25|Minor restricted activity days", US_national_yearly!$D:$AM, 24, FALSE) / VLOOKUP("transport|PM25|Minor restricted activity days", US_national_yearly!$D:$AM, 10, FALSE), 1)</f>
        <v>8.3273974809494007</v>
      </c>
      <c r="Q14" s="7">
        <f>$B14 * IFERROR(VLOOKUP("transport|PM25|Minor restricted activity days", US_national_yearly!$D:$AM, 25, FALSE) / VLOOKUP("transport|PM25|Minor restricted activity days", US_national_yearly!$D:$AM, 10, FALSE), 1)</f>
        <v>8.3925225455689461</v>
      </c>
      <c r="R14" s="7">
        <f>$B14 * IFERROR(VLOOKUP("transport|PM25|Minor restricted activity days", US_national_yearly!$D:$AM, 26, FALSE) / VLOOKUP("transport|PM25|Minor restricted activity days", US_national_yearly!$D:$AM, 10, FALSE), 1)</f>
        <v>8.4576476101884914</v>
      </c>
      <c r="S14" s="7">
        <f>$B14 * IFERROR(VLOOKUP("transport|PM25|Minor restricted activity days", US_national_yearly!$D:$AM, 27, FALSE) / VLOOKUP("transport|PM25|Minor restricted activity days", US_national_yearly!$D:$AM, 10, FALSE), 1)</f>
        <v>8.5232211697879308</v>
      </c>
      <c r="T14" s="7">
        <f>$B14 * IFERROR(VLOOKUP("transport|PM25|Minor restricted activity days", US_national_yearly!$D:$AM, 28, FALSE) / VLOOKUP("transport|PM25|Minor restricted activity days", US_national_yearly!$D:$AM, 10, FALSE), 1)</f>
        <v>8.5887947293873701</v>
      </c>
      <c r="U14" s="7">
        <f>$B14 * IFERROR(VLOOKUP("transport|PM25|Minor restricted activity days", US_national_yearly!$D:$AM, 29, FALSE) / VLOOKUP("transport|PM25|Minor restricted activity days", US_national_yearly!$D:$AM, 10, FALSE), 1)</f>
        <v>8.6543682889868094</v>
      </c>
      <c r="V14" s="7">
        <f>$B14 * IFERROR(VLOOKUP("transport|PM25|Minor restricted activity days", US_national_yearly!$D:$AM, 30, FALSE) / VLOOKUP("transport|PM25|Minor restricted activity days", US_national_yearly!$D:$AM, 10, FALSE), 1)</f>
        <v>8.7199418485862488</v>
      </c>
      <c r="W14" s="7">
        <f>$B14 * IFERROR(VLOOKUP("transport|PM25|Minor restricted activity days", US_national_yearly!$D:$AM, 31, FALSE) / VLOOKUP("transport|PM25|Minor restricted activity days", US_national_yearly!$D:$AM, 10, FALSE), 1)</f>
        <v>8.7855154081856881</v>
      </c>
      <c r="X14" s="7">
        <f>$B14 * IFERROR(VLOOKUP("transport|PM25|Minor restricted activity days", US_national_yearly!$D:$AM, 32, FALSE) / VLOOKUP("transport|PM25|Minor restricted activity days", US_national_yearly!$D:$AM, 10, FALSE), 1)</f>
        <v>8.8424398547436081</v>
      </c>
      <c r="Y14" s="7">
        <f>$B14 * IFERROR(VLOOKUP("transport|PM25|Minor restricted activity days", US_national_yearly!$D:$AM, 33, FALSE) / VLOOKUP("transport|PM25|Minor restricted activity days", US_national_yearly!$D:$AM, 10, FALSE), 1)</f>
        <v>8.8993643013015298</v>
      </c>
      <c r="Z14" s="7">
        <f>$B14 * IFERROR(VLOOKUP("transport|PM25|Minor restricted activity days", US_national_yearly!$D:$AM, 34, FALSE) / VLOOKUP("transport|PM25|Minor restricted activity days", US_national_yearly!$D:$AM, 10, FALSE), 1)</f>
        <v>8.9562887478594515</v>
      </c>
      <c r="AA14" s="7">
        <f>$B14 * IFERROR(VLOOKUP("transport|PM25|Minor restricted activity days", US_national_yearly!$D:$AM, 35, FALSE) / VLOOKUP("transport|PM25|Minor restricted activity days", US_national_yearly!$D:$AM, 10, FALSE), 1)</f>
        <v>9.0132131944173697</v>
      </c>
      <c r="AB14" s="7">
        <f>$B14 * IFERROR(VLOOKUP("transport|PM25|Minor restricted activity days", US_national_yearly!$D:$AM, 36, FALSE) / VLOOKUP("transport|PM25|Minor restricted activity days", US_national_yearly!$D:$AM, 10, FALSE), 1)</f>
        <v>9.0701376409752914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1.3208865635332769</v>
      </c>
      <c r="C15" s="7">
        <f>$B15 * IFERROR(VLOOKUP("transport|PM25|Work loss days", US_national_yearly!$D:$AM, 11, FALSE) / VLOOKUP("transport|PM25|Work loss days", US_national_yearly!$D:$AM, 10, FALSE), 1)</f>
        <v>1.324980836135466</v>
      </c>
      <c r="D15" s="7">
        <f>$B15 * IFERROR(VLOOKUP("transport|PM25|Work loss days", US_national_yearly!$D:$AM, 12, FALSE) / VLOOKUP("transport|PM25|Work loss days", US_national_yearly!$D:$AM, 10, FALSE), 1)</f>
        <v>1.3290751087376553</v>
      </c>
      <c r="E15" s="7">
        <f>$B15 * IFERROR(VLOOKUP("transport|PM25|Work loss days", US_national_yearly!$D:$AM, 13, FALSE) / VLOOKUP("transport|PM25|Work loss days", US_national_yearly!$D:$AM, 10, FALSE), 1)</f>
        <v>1.3331693813398444</v>
      </c>
      <c r="F15" s="7">
        <f>$B15 * IFERROR(VLOOKUP("transport|PM25|Work loss days", US_national_yearly!$D:$AM, 14, FALSE) / VLOOKUP("transport|PM25|Work loss days", US_national_yearly!$D:$AM, 10, FALSE), 1)</f>
        <v>1.3372636539420335</v>
      </c>
      <c r="G15" s="7">
        <f>$B15 * IFERROR(VLOOKUP("transport|PM25|Work loss days", US_national_yearly!$D:$AM, 15, FALSE) / VLOOKUP("transport|PM25|Work loss days", US_national_yearly!$D:$AM, 10, FALSE), 1)</f>
        <v>1.3426315065829648</v>
      </c>
      <c r="H15" s="7">
        <f>$B15 * IFERROR(VLOOKUP("transport|PM25|Work loss days", US_national_yearly!$D:$AM, 16, FALSE) / VLOOKUP("transport|PM25|Work loss days", US_national_yearly!$D:$AM, 10, FALSE), 1)</f>
        <v>1.3479993592238966</v>
      </c>
      <c r="I15" s="7">
        <f>$B15 * IFERROR(VLOOKUP("transport|PM25|Work loss days", US_national_yearly!$D:$AM, 17, FALSE) / VLOOKUP("transport|PM25|Work loss days", US_national_yearly!$D:$AM, 10, FALSE), 1)</f>
        <v>1.3559041126204465</v>
      </c>
      <c r="J15" s="7">
        <f>$B15 * IFERROR(VLOOKUP("transport|PM25|Work loss days", US_national_yearly!$D:$AM, 18, FALSE) / VLOOKUP("transport|PM25|Work loss days", US_national_yearly!$D:$AM, 10, FALSE), 1)</f>
        <v>1.3638088660169965</v>
      </c>
      <c r="K15" s="7">
        <f>$B15 * IFERROR(VLOOKUP("transport|PM25|Work loss days", US_national_yearly!$D:$AM, 19, FALSE) / VLOOKUP("transport|PM25|Work loss days", US_national_yearly!$D:$AM, 10, FALSE), 1)</f>
        <v>1.3717136194135464</v>
      </c>
      <c r="L15" s="7">
        <f>$B15 * IFERROR(VLOOKUP("transport|PM25|Work loss days", US_national_yearly!$D:$AM, 20, FALSE) / VLOOKUP("transport|PM25|Work loss days", US_national_yearly!$D:$AM, 10, FALSE), 1)</f>
        <v>1.3796183728100964</v>
      </c>
      <c r="M15" s="7">
        <f>$B15 * IFERROR(VLOOKUP("transport|PM25|Work loss days", US_national_yearly!$D:$AM, 21, FALSE) / VLOOKUP("transport|PM25|Work loss days", US_national_yearly!$D:$AM, 10, FALSE), 1)</f>
        <v>1.3875231262066463</v>
      </c>
      <c r="N15" s="7">
        <f>$B15 * IFERROR(VLOOKUP("transport|PM25|Work loss days", US_national_yearly!$D:$AM, 22, FALSE) / VLOOKUP("transport|PM25|Work loss days", US_national_yearly!$D:$AM, 10, FALSE), 1)</f>
        <v>1.3974718566575117</v>
      </c>
      <c r="O15" s="7">
        <f>$B15 * IFERROR(VLOOKUP("transport|PM25|Work loss days", US_national_yearly!$D:$AM, 23, FALSE) / VLOOKUP("transport|PM25|Work loss days", US_national_yearly!$D:$AM, 10, FALSE), 1)</f>
        <v>1.4074205871083769</v>
      </c>
      <c r="P15" s="7">
        <f>$B15 * IFERROR(VLOOKUP("transport|PM25|Work loss days", US_national_yearly!$D:$AM, 24, FALSE) / VLOOKUP("transport|PM25|Work loss days", US_national_yearly!$D:$AM, 10, FALSE), 1)</f>
        <v>1.4173693175592426</v>
      </c>
      <c r="Q15" s="7">
        <f>$B15 * IFERROR(VLOOKUP("transport|PM25|Work loss days", US_national_yearly!$D:$AM, 25, FALSE) / VLOOKUP("transport|PM25|Work loss days", US_national_yearly!$D:$AM, 10, FALSE), 1)</f>
        <v>1.4273180480101078</v>
      </c>
      <c r="R15" s="7">
        <f>$B15 * IFERROR(VLOOKUP("transport|PM25|Work loss days", US_national_yearly!$D:$AM, 26, FALSE) / VLOOKUP("transport|PM25|Work loss days", US_national_yearly!$D:$AM, 10, FALSE), 1)</f>
        <v>1.4372667784609732</v>
      </c>
      <c r="S15" s="7">
        <f>$B15 * IFERROR(VLOOKUP("transport|PM25|Work loss days", US_national_yearly!$D:$AM, 27, FALSE) / VLOOKUP("transport|PM25|Work loss days", US_national_yearly!$D:$AM, 10, FALSE), 1)</f>
        <v>1.4482704990852873</v>
      </c>
      <c r="T15" s="7">
        <f>$B15 * IFERROR(VLOOKUP("transport|PM25|Work loss days", US_national_yearly!$D:$AM, 28, FALSE) / VLOOKUP("transport|PM25|Work loss days", US_national_yearly!$D:$AM, 10, FALSE), 1)</f>
        <v>1.4592742197096014</v>
      </c>
      <c r="U15" s="7">
        <f>$B15 * IFERROR(VLOOKUP("transport|PM25|Work loss days", US_national_yearly!$D:$AM, 29, FALSE) / VLOOKUP("transport|PM25|Work loss days", US_national_yearly!$D:$AM, 10, FALSE), 1)</f>
        <v>1.470277940333915</v>
      </c>
      <c r="V15" s="7">
        <f>$B15 * IFERROR(VLOOKUP("transport|PM25|Work loss days", US_national_yearly!$D:$AM, 30, FALSE) / VLOOKUP("transport|PM25|Work loss days", US_national_yearly!$D:$AM, 10, FALSE), 1)</f>
        <v>1.4812816609582293</v>
      </c>
      <c r="W15" s="7">
        <f>$B15 * IFERROR(VLOOKUP("transport|PM25|Work loss days", US_national_yearly!$D:$AM, 31, FALSE) / VLOOKUP("transport|PM25|Work loss days", US_national_yearly!$D:$AM, 10, FALSE), 1)</f>
        <v>1.4922853815825432</v>
      </c>
      <c r="X15" s="7">
        <f>$B15 * IFERROR(VLOOKUP("transport|PM25|Work loss days", US_national_yearly!$D:$AM, 32, FALSE) / VLOOKUP("transport|PM25|Work loss days", US_national_yearly!$D:$AM, 10, FALSE), 1)</f>
        <v>1.5020486495196219</v>
      </c>
      <c r="Y15" s="7">
        <f>$B15 * IFERROR(VLOOKUP("transport|PM25|Work loss days", US_national_yearly!$D:$AM, 33, FALSE) / VLOOKUP("transport|PM25|Work loss days", US_national_yearly!$D:$AM, 10, FALSE), 1)</f>
        <v>1.5118119174567004</v>
      </c>
      <c r="Z15" s="7">
        <f>$B15 * IFERROR(VLOOKUP("transport|PM25|Work loss days", US_national_yearly!$D:$AM, 34, FALSE) / VLOOKUP("transport|PM25|Work loss days", US_national_yearly!$D:$AM, 10, FALSE), 1)</f>
        <v>1.5215751853937793</v>
      </c>
      <c r="AA15" s="7">
        <f>$B15 * IFERROR(VLOOKUP("transport|PM25|Work loss days", US_national_yearly!$D:$AM, 35, FALSE) / VLOOKUP("transport|PM25|Work loss days", US_national_yearly!$D:$AM, 10, FALSE), 1)</f>
        <v>1.5313384533308583</v>
      </c>
      <c r="AB15" s="7">
        <f>$B15 * IFERROR(VLOOKUP("transport|PM25|Work loss days", US_national_yearly!$D:$AM, 36, FALSE) / VLOOKUP("transport|PM25|Work loss days", US_national_yearly!$D:$AM, 10, FALSE), 1)</f>
        <v>1.5411017212679368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1.7134715745388959E-3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1.7646713000187297E-3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1.8158710254985637E-3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1.8670707509783977E-3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1.9182704764582317E-3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1.9673106678273228E-3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2.0163508591964151E-3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2.0582927232696991E-3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2.1002345873429827E-3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2.1421764514162663E-3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2.1841183154895508E-3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2.2260601795628344E-3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2.2540237779291633E-3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2.2819873762954927E-3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2.3099509746618216E-3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2.3379145730281509E-3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2.3658781713944799E-3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2.3806735256416975E-3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2.3954688798889148E-3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2.4102642341361316E-3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2.4250595883833488E-3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2.439854942630566E-3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2.4498153697274407E-3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2.4597757968243148E-3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2.4697362239211895E-3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2.4796966510180637E-3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2.4896570781149378E-3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8.5699492715308621E-4</v>
      </c>
      <c r="C2" s="7">
        <f>$B2 * IFERROR(VLOOKUP("transport|NOx|Premature mortality", US_national_yearly!$D:$AM, 11, FALSE) / VLOOKUP("transport|NOx|Premature mortality", US_national_yearly!$D:$AM, 10, FALSE), 1)</f>
        <v>8.6958273409448467E-4</v>
      </c>
      <c r="D2" s="7">
        <f>$B2 * IFERROR(VLOOKUP("transport|NOx|Premature mortality", US_national_yearly!$D:$AM, 12, FALSE) / VLOOKUP("transport|NOx|Premature mortality", US_national_yearly!$D:$AM, 10, FALSE), 1)</f>
        <v>8.8217054103588292E-4</v>
      </c>
      <c r="E2" s="7">
        <f>$B2 * IFERROR(VLOOKUP("transport|NOx|Premature mortality", US_national_yearly!$D:$AM, 13, FALSE) / VLOOKUP("transport|NOx|Premature mortality", US_national_yearly!$D:$AM, 10, FALSE), 1)</f>
        <v>8.9475834797728138E-4</v>
      </c>
      <c r="F2" s="7">
        <f>$B2 * IFERROR(VLOOKUP("transport|NOx|Premature mortality", US_national_yearly!$D:$AM, 14, FALSE) / VLOOKUP("transport|NOx|Premature mortality", US_national_yearly!$D:$AM, 10, FALSE), 1)</f>
        <v>9.0734615491867973E-4</v>
      </c>
      <c r="G2" s="7">
        <f>$B2 * IFERROR(VLOOKUP("transport|NOx|Premature mortality", US_national_yearly!$D:$AM, 15, FALSE) / VLOOKUP("transport|NOx|Premature mortality", US_national_yearly!$D:$AM, 10, FALSE), 1)</f>
        <v>9.2995683224767161E-4</v>
      </c>
      <c r="H2" s="7">
        <f>$B2 * IFERROR(VLOOKUP("transport|NOx|Premature mortality", US_national_yearly!$D:$AM, 16, FALSE) / VLOOKUP("transport|NOx|Premature mortality", US_national_yearly!$D:$AM, 10, FALSE), 1)</f>
        <v>9.5256750957666372E-4</v>
      </c>
      <c r="I2" s="7">
        <f>$B2 * IFERROR(VLOOKUP("transport|NOx|Premature mortality", US_national_yearly!$D:$AM, 17, FALSE) / VLOOKUP("transport|NOx|Premature mortality", US_national_yearly!$D:$AM, 10, FALSE), 1)</f>
        <v>9.6716313068621331E-4</v>
      </c>
      <c r="J2" s="7">
        <f>$B2 * IFERROR(VLOOKUP("transport|NOx|Premature mortality", US_national_yearly!$D:$AM, 18, FALSE) / VLOOKUP("transport|NOx|Premature mortality", US_national_yearly!$D:$AM, 10, FALSE), 1)</f>
        <v>9.8175875179576291E-4</v>
      </c>
      <c r="K2" s="7">
        <f>$B2 * IFERROR(VLOOKUP("transport|NOx|Premature mortality", US_national_yearly!$D:$AM, 19, FALSE) / VLOOKUP("transport|NOx|Premature mortality", US_national_yearly!$D:$AM, 10, FALSE), 1)</f>
        <v>9.9635437290531239E-4</v>
      </c>
      <c r="L2" s="7">
        <f>$B2 * IFERROR(VLOOKUP("transport|NOx|Premature mortality", US_national_yearly!$D:$AM, 20, FALSE) / VLOOKUP("transport|NOx|Premature mortality", US_national_yearly!$D:$AM, 10, FALSE), 1)</f>
        <v>1.0109499940148619E-3</v>
      </c>
      <c r="M2" s="7">
        <f>$B2 * IFERROR(VLOOKUP("transport|NOx|Premature mortality", US_national_yearly!$D:$AM, 21, FALSE) / VLOOKUP("transport|NOx|Premature mortality", US_national_yearly!$D:$AM, 10, FALSE), 1)</f>
        <v>1.0255456151244116E-3</v>
      </c>
      <c r="N2" s="7">
        <f>$B2 * IFERROR(VLOOKUP("transport|NOx|Premature mortality", US_national_yearly!$D:$AM, 22, FALSE) / VLOOKUP("transport|NOx|Premature mortality", US_national_yearly!$D:$AM, 10, FALSE), 1)</f>
        <v>1.036357994501251E-3</v>
      </c>
      <c r="O2" s="7">
        <f>$B2 * IFERROR(VLOOKUP("transport|NOx|Premature mortality", US_national_yearly!$D:$AM, 23, FALSE) / VLOOKUP("transport|NOx|Premature mortality", US_national_yearly!$D:$AM, 10, FALSE), 1)</f>
        <v>1.0471703738780904E-3</v>
      </c>
      <c r="P2" s="7">
        <f>$B2 * IFERROR(VLOOKUP("transport|NOx|Premature mortality", US_national_yearly!$D:$AM, 24, FALSE) / VLOOKUP("transport|NOx|Premature mortality", US_national_yearly!$D:$AM, 10, FALSE), 1)</f>
        <v>1.0579827532549298E-3</v>
      </c>
      <c r="Q2" s="7">
        <f>$B2 * IFERROR(VLOOKUP("transport|NOx|Premature mortality", US_national_yearly!$D:$AM, 25, FALSE) / VLOOKUP("transport|NOx|Premature mortality", US_national_yearly!$D:$AM, 10, FALSE), 1)</f>
        <v>1.0687951326317695E-3</v>
      </c>
      <c r="R2" s="7">
        <f>$B2 * IFERROR(VLOOKUP("transport|NOx|Premature mortality", US_national_yearly!$D:$AM, 26, FALSE) / VLOOKUP("transport|NOx|Premature mortality", US_national_yearly!$D:$AM, 10, FALSE), 1)</f>
        <v>1.0796075120086089E-3</v>
      </c>
      <c r="S2" s="7">
        <f>$B2 * IFERROR(VLOOKUP("transport|NOx|Premature mortality", US_national_yearly!$D:$AM, 27, FALSE) / VLOOKUP("transport|NOx|Premature mortality", US_national_yearly!$D:$AM, 10, FALSE), 1)</f>
        <v>1.0845218473145958E-3</v>
      </c>
      <c r="T2" s="7">
        <f>$B2 * IFERROR(VLOOKUP("transport|NOx|Premature mortality", US_national_yearly!$D:$AM, 28, FALSE) / VLOOKUP("transport|NOx|Premature mortality", US_national_yearly!$D:$AM, 10, FALSE), 1)</f>
        <v>1.089436182620583E-3</v>
      </c>
      <c r="U2" s="7">
        <f>$B2 * IFERROR(VLOOKUP("transport|NOx|Premature mortality", US_national_yearly!$D:$AM, 29, FALSE) / VLOOKUP("transport|NOx|Premature mortality", US_national_yearly!$D:$AM, 10, FALSE), 1)</f>
        <v>1.0943505179265699E-3</v>
      </c>
      <c r="V2" s="7">
        <f>$B2 * IFERROR(VLOOKUP("transport|NOx|Premature mortality", US_national_yearly!$D:$AM, 30, FALSE) / VLOOKUP("transport|NOx|Premature mortality", US_national_yearly!$D:$AM, 10, FALSE), 1)</f>
        <v>1.0992648532325568E-3</v>
      </c>
      <c r="W2" s="7">
        <f>$B2 * IFERROR(VLOOKUP("transport|NOx|Premature mortality", US_national_yearly!$D:$AM, 31, FALSE) / VLOOKUP("transport|NOx|Premature mortality", US_national_yearly!$D:$AM, 10, FALSE), 1)</f>
        <v>1.104179188538544E-3</v>
      </c>
      <c r="X2" s="7">
        <f>$B2 * IFERROR(VLOOKUP("transport|NOx|Premature mortality", US_national_yearly!$D:$AM, 32, FALSE) / VLOOKUP("transport|NOx|Premature mortality", US_national_yearly!$D:$AM, 10, FALSE), 1)</f>
        <v>1.1043494182926923E-3</v>
      </c>
      <c r="Y2" s="7">
        <f>$B2 * IFERROR(VLOOKUP("transport|NOx|Premature mortality", US_national_yearly!$D:$AM, 33, FALSE) / VLOOKUP("transport|NOx|Premature mortality", US_national_yearly!$D:$AM, 10, FALSE), 1)</f>
        <v>1.1045196480468406E-3</v>
      </c>
      <c r="Z2" s="7">
        <f>$B2 * IFERROR(VLOOKUP("transport|NOx|Premature mortality", US_national_yearly!$D:$AM, 34, FALSE) / VLOOKUP("transport|NOx|Premature mortality", US_national_yearly!$D:$AM, 10, FALSE), 1)</f>
        <v>1.1046898778009889E-3</v>
      </c>
      <c r="AA2" s="7">
        <f>$B2 * IFERROR(VLOOKUP("transport|NOx|Premature mortality", US_national_yearly!$D:$AM, 35, FALSE) / VLOOKUP("transport|NOx|Premature mortality", US_national_yearly!$D:$AM, 10, FALSE), 1)</f>
        <v>1.1048601075551374E-3</v>
      </c>
      <c r="AB2" s="7">
        <f>$B2 * IFERROR(VLOOKUP("transport|NOx|Premature mortality", US_national_yearly!$D:$AM, 36, FALSE) / VLOOKUP("transport|NOx|Premature mortality", US_national_yearly!$D:$AM, 10, FALSE), 1)</f>
        <v>1.1050303373092859E-3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2.2311919058349734E-6</v>
      </c>
      <c r="C3" s="7">
        <f>$B3 * IFERROR(VLOOKUP("transport|NOx|Infant mortality", US_national_yearly!$D:$AM, 11, FALSE) / VLOOKUP("transport|NOx|Infant mortality", US_national_yearly!$D:$AM, 10, FALSE), 1)</f>
        <v>2.2099341174923436E-6</v>
      </c>
      <c r="D3" s="7">
        <f>$B3 * IFERROR(VLOOKUP("transport|NOx|Infant mortality", US_national_yearly!$D:$AM, 12, FALSE) / VLOOKUP("transport|NOx|Infant mortality", US_national_yearly!$D:$AM, 10, FALSE), 1)</f>
        <v>2.1886763291497138E-6</v>
      </c>
      <c r="E3" s="7">
        <f>$B3 * IFERROR(VLOOKUP("transport|NOx|Infant mortality", US_national_yearly!$D:$AM, 13, FALSE) / VLOOKUP("transport|NOx|Infant mortality", US_national_yearly!$D:$AM, 10, FALSE), 1)</f>
        <v>2.1674185408070845E-6</v>
      </c>
      <c r="F3" s="7">
        <f>$B3 * IFERROR(VLOOKUP("transport|NOx|Infant mortality", US_national_yearly!$D:$AM, 14, FALSE) / VLOOKUP("transport|NOx|Infant mortality", US_national_yearly!$D:$AM, 10, FALSE), 1)</f>
        <v>2.1461607524644547E-6</v>
      </c>
      <c r="G3" s="7">
        <f>$B3 * IFERROR(VLOOKUP("transport|NOx|Infant mortality", US_national_yearly!$D:$AM, 15, FALSE) / VLOOKUP("transport|NOx|Infant mortality", US_national_yearly!$D:$AM, 10, FALSE), 1)</f>
        <v>1.4247274870127739E-6</v>
      </c>
      <c r="H3" s="7">
        <f>$B3 * IFERROR(VLOOKUP("transport|NOx|Infant mortality", US_national_yearly!$D:$AM, 16, FALSE) / VLOOKUP("transport|NOx|Infant mortality", US_national_yearly!$D:$AM, 10, FALSE), 1)</f>
        <v>7.0329422156109305E-7</v>
      </c>
      <c r="I3" s="7">
        <f>$B3 * IFERROR(VLOOKUP("transport|NOx|Infant mortality", US_national_yearly!$D:$AM, 17, FALSE) / VLOOKUP("transport|NOx|Infant mortality", US_national_yearly!$D:$AM, 10, FALSE), 1)</f>
        <v>6.9832125990659703E-7</v>
      </c>
      <c r="J3" s="7">
        <f>$B3 * IFERROR(VLOOKUP("transport|NOx|Infant mortality", US_national_yearly!$D:$AM, 18, FALSE) / VLOOKUP("transport|NOx|Infant mortality", US_national_yearly!$D:$AM, 10, FALSE), 1)</f>
        <v>6.9334829825210079E-7</v>
      </c>
      <c r="K3" s="7">
        <f>$B3 * IFERROR(VLOOKUP("transport|NOx|Infant mortality", US_national_yearly!$D:$AM, 19, FALSE) / VLOOKUP("transport|NOx|Infant mortality", US_national_yearly!$D:$AM, 10, FALSE), 1)</f>
        <v>6.8837533659760477E-7</v>
      </c>
      <c r="L3" s="7">
        <f>$B3 * IFERROR(VLOOKUP("transport|NOx|Infant mortality", US_national_yearly!$D:$AM, 20, FALSE) / VLOOKUP("transport|NOx|Infant mortality", US_national_yearly!$D:$AM, 10, FALSE), 1)</f>
        <v>6.8340237494310875E-7</v>
      </c>
      <c r="M3" s="7">
        <f>$B3 * IFERROR(VLOOKUP("transport|NOx|Infant mortality", US_national_yearly!$D:$AM, 21, FALSE) / VLOOKUP("transport|NOx|Infant mortality", US_national_yearly!$D:$AM, 10, FALSE), 1)</f>
        <v>6.7842941328861262E-7</v>
      </c>
      <c r="N3" s="7">
        <f>$B3 * IFERROR(VLOOKUP("transport|NOx|Infant mortality", US_national_yearly!$D:$AM, 22, FALSE) / VLOOKUP("transport|NOx|Infant mortality", US_national_yearly!$D:$AM, 10, FALSE), 1)</f>
        <v>6.7512856927424087E-7</v>
      </c>
      <c r="O3" s="7">
        <f>$B3 * IFERROR(VLOOKUP("transport|NOx|Infant mortality", US_national_yearly!$D:$AM, 23, FALSE) / VLOOKUP("transport|NOx|Infant mortality", US_national_yearly!$D:$AM, 10, FALSE), 1)</f>
        <v>6.7182772525986903E-7</v>
      </c>
      <c r="P3" s="7">
        <f>$B3 * IFERROR(VLOOKUP("transport|NOx|Infant mortality", US_national_yearly!$D:$AM, 24, FALSE) / VLOOKUP("transport|NOx|Infant mortality", US_national_yearly!$D:$AM, 10, FALSE), 1)</f>
        <v>6.6852688124549729E-7</v>
      </c>
      <c r="Q3" s="7">
        <f>$B3 * IFERROR(VLOOKUP("transport|NOx|Infant mortality", US_national_yearly!$D:$AM, 25, FALSE) / VLOOKUP("transport|NOx|Infant mortality", US_national_yearly!$D:$AM, 10, FALSE), 1)</f>
        <v>6.6522603723112554E-7</v>
      </c>
      <c r="R3" s="7">
        <f>$B3 * IFERROR(VLOOKUP("transport|NOx|Infant mortality", US_national_yearly!$D:$AM, 26, FALSE) / VLOOKUP("transport|NOx|Infant mortality", US_national_yearly!$D:$AM, 10, FALSE), 1)</f>
        <v>6.619251932167537E-7</v>
      </c>
      <c r="S3" s="7">
        <f>$B3 * IFERROR(VLOOKUP("transport|NOx|Infant mortality", US_national_yearly!$D:$AM, 27, FALSE) / VLOOKUP("transport|NOx|Infant mortality", US_national_yearly!$D:$AM, 10, FALSE), 1)</f>
        <v>6.5795705379863544E-7</v>
      </c>
      <c r="T3" s="7">
        <f>$B3 * IFERROR(VLOOKUP("transport|NOx|Infant mortality", US_national_yearly!$D:$AM, 28, FALSE) / VLOOKUP("transport|NOx|Infant mortality", US_national_yearly!$D:$AM, 10, FALSE), 1)</f>
        <v>6.539889143805173E-7</v>
      </c>
      <c r="U3" s="7">
        <f>$B3 * IFERROR(VLOOKUP("transport|NOx|Infant mortality", US_national_yearly!$D:$AM, 29, FALSE) / VLOOKUP("transport|NOx|Infant mortality", US_national_yearly!$D:$AM, 10, FALSE), 1)</f>
        <v>6.5002077496239904E-7</v>
      </c>
      <c r="V3" s="7">
        <f>$B3 * IFERROR(VLOOKUP("transport|NOx|Infant mortality", US_national_yearly!$D:$AM, 30, FALSE) / VLOOKUP("transport|NOx|Infant mortality", US_national_yearly!$D:$AM, 10, FALSE), 1)</f>
        <v>6.4605263554428079E-7</v>
      </c>
      <c r="W3" s="7">
        <f>$B3 * IFERROR(VLOOKUP("transport|NOx|Infant mortality", US_national_yearly!$D:$AM, 31, FALSE) / VLOOKUP("transport|NOx|Infant mortality", US_national_yearly!$D:$AM, 10, FALSE), 1)</f>
        <v>6.4208449612616253E-7</v>
      </c>
      <c r="X3" s="7">
        <f>$B3 * IFERROR(VLOOKUP("transport|NOx|Infant mortality", US_national_yearly!$D:$AM, 32, FALSE) / VLOOKUP("transport|NOx|Infant mortality", US_national_yearly!$D:$AM, 10, FALSE), 1)</f>
        <v>6.378820445909851E-7</v>
      </c>
      <c r="Y3" s="7">
        <f>$B3 * IFERROR(VLOOKUP("transport|NOx|Infant mortality", US_national_yearly!$D:$AM, 33, FALSE) / VLOOKUP("transport|NOx|Infant mortality", US_national_yearly!$D:$AM, 10, FALSE), 1)</f>
        <v>6.3367959305580745E-7</v>
      </c>
      <c r="Z3" s="7">
        <f>$B3 * IFERROR(VLOOKUP("transport|NOx|Infant mortality", US_national_yearly!$D:$AM, 34, FALSE) / VLOOKUP("transport|NOx|Infant mortality", US_national_yearly!$D:$AM, 10, FALSE), 1)</f>
        <v>6.2947714152062991E-7</v>
      </c>
      <c r="AA3" s="7">
        <f>$B3 * IFERROR(VLOOKUP("transport|NOx|Infant mortality", US_national_yearly!$D:$AM, 35, FALSE) / VLOOKUP("transport|NOx|Infant mortality", US_national_yearly!$D:$AM, 10, FALSE), 1)</f>
        <v>6.2527468998545227E-7</v>
      </c>
      <c r="AB3" s="7">
        <f>$B3 * IFERROR(VLOOKUP("transport|NOx|Infant mortality", US_national_yearly!$D:$AM, 36, FALSE) / VLOOKUP("transport|NOx|Infant mortality", US_national_yearly!$D:$AM, 10, FALSE), 1)</f>
        <v>6.2107223845027462E-7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2.6135200995481651E-3</v>
      </c>
      <c r="C6" s="7">
        <f>$B6 * IFERROR(VLOOKUP("transport|NOx|Asthma symptoms cough", US_national_yearly!$D:$AM, 11, FALSE) / VLOOKUP("transport|NOx|Asthma symptoms cough", US_national_yearly!$D:$AM, 10, FALSE), 1)</f>
        <v>2.6492511922452085E-3</v>
      </c>
      <c r="D6" s="7">
        <f>$B6 * IFERROR(VLOOKUP("transport|NOx|Asthma symptoms cough", US_national_yearly!$D:$AM, 12, FALSE) / VLOOKUP("transport|NOx|Asthma symptoms cough", US_national_yearly!$D:$AM, 10, FALSE), 1)</f>
        <v>2.6849822849422523E-3</v>
      </c>
      <c r="E6" s="7">
        <f>$B6 * IFERROR(VLOOKUP("transport|NOx|Asthma symptoms cough", US_national_yearly!$D:$AM, 13, FALSE) / VLOOKUP("transport|NOx|Asthma symptoms cough", US_national_yearly!$D:$AM, 10, FALSE), 1)</f>
        <v>2.7207133776392957E-3</v>
      </c>
      <c r="F6" s="7">
        <f>$B6 * IFERROR(VLOOKUP("transport|NOx|Asthma symptoms cough", US_national_yearly!$D:$AM, 14, FALSE) / VLOOKUP("transport|NOx|Asthma symptoms cough", US_national_yearly!$D:$AM, 10, FALSE), 1)</f>
        <v>2.7564444703363391E-3</v>
      </c>
      <c r="G6" s="7">
        <f>$B6 * IFERROR(VLOOKUP("transport|NOx|Asthma symptoms cough", US_national_yearly!$D:$AM, 15, FALSE) / VLOOKUP("transport|NOx|Asthma symptoms cough", US_national_yearly!$D:$AM, 10, FALSE), 1)</f>
        <v>2.7849707547720546E-3</v>
      </c>
      <c r="H6" s="7">
        <f>$B6 * IFERROR(VLOOKUP("transport|NOx|Asthma symptoms cough", US_national_yearly!$D:$AM, 16, FALSE) / VLOOKUP("transport|NOx|Asthma symptoms cough", US_national_yearly!$D:$AM, 10, FALSE), 1)</f>
        <v>2.8134970392077706E-3</v>
      </c>
      <c r="I6" s="7">
        <f>$B6 * IFERROR(VLOOKUP("transport|NOx|Asthma symptoms cough", US_national_yearly!$D:$AM, 17, FALSE) / VLOOKUP("transport|NOx|Asthma symptoms cough", US_national_yearly!$D:$AM, 10, FALSE), 1)</f>
        <v>2.8233153785058758E-3</v>
      </c>
      <c r="J6" s="7">
        <f>$B6 * IFERROR(VLOOKUP("transport|NOx|Asthma symptoms cough", US_national_yearly!$D:$AM, 18, FALSE) / VLOOKUP("transport|NOx|Asthma symptoms cough", US_national_yearly!$D:$AM, 10, FALSE), 1)</f>
        <v>2.8331337178039815E-3</v>
      </c>
      <c r="K6" s="7">
        <f>$B6 * IFERROR(VLOOKUP("transport|NOx|Asthma symptoms cough", US_national_yearly!$D:$AM, 19, FALSE) / VLOOKUP("transport|NOx|Asthma symptoms cough", US_national_yearly!$D:$AM, 10, FALSE), 1)</f>
        <v>2.8429520571020867E-3</v>
      </c>
      <c r="L6" s="7">
        <f>$B6 * IFERROR(VLOOKUP("transport|NOx|Asthma symptoms cough", US_national_yearly!$D:$AM, 20, FALSE) / VLOOKUP("transport|NOx|Asthma symptoms cough", US_national_yearly!$D:$AM, 10, FALSE), 1)</f>
        <v>2.8527703964001919E-3</v>
      </c>
      <c r="M6" s="7">
        <f>$B6 * IFERROR(VLOOKUP("transport|NOx|Asthma symptoms cough", US_national_yearly!$D:$AM, 21, FALSE) / VLOOKUP("transport|NOx|Asthma symptoms cough", US_national_yearly!$D:$AM, 10, FALSE), 1)</f>
        <v>2.8625887356982975E-3</v>
      </c>
      <c r="N6" s="7">
        <f>$B6 * IFERROR(VLOOKUP("transport|NOx|Asthma symptoms cough", US_national_yearly!$D:$AM, 22, FALSE) / VLOOKUP("transport|NOx|Asthma symptoms cough", US_national_yearly!$D:$AM, 10, FALSE), 1)</f>
        <v>2.8739738312593701E-3</v>
      </c>
      <c r="O6" s="7">
        <f>$B6 * IFERROR(VLOOKUP("transport|NOx|Asthma symptoms cough", US_national_yearly!$D:$AM, 23, FALSE) / VLOOKUP("transport|NOx|Asthma symptoms cough", US_national_yearly!$D:$AM, 10, FALSE), 1)</f>
        <v>2.8853589268204431E-3</v>
      </c>
      <c r="P6" s="7">
        <f>$B6 * IFERROR(VLOOKUP("transport|NOx|Asthma symptoms cough", US_national_yearly!$D:$AM, 24, FALSE) / VLOOKUP("transport|NOx|Asthma symptoms cough", US_national_yearly!$D:$AM, 10, FALSE), 1)</f>
        <v>2.8967440223815156E-3</v>
      </c>
      <c r="Q6" s="7">
        <f>$B6 * IFERROR(VLOOKUP("transport|NOx|Asthma symptoms cough", US_national_yearly!$D:$AM, 25, FALSE) / VLOOKUP("transport|NOx|Asthma symptoms cough", US_national_yearly!$D:$AM, 10, FALSE), 1)</f>
        <v>2.908129117942589E-3</v>
      </c>
      <c r="R6" s="7">
        <f>$B6 * IFERROR(VLOOKUP("transport|NOx|Asthma symptoms cough", US_national_yearly!$D:$AM, 26, FALSE) / VLOOKUP("transport|NOx|Asthma symptoms cough", US_national_yearly!$D:$AM, 10, FALSE), 1)</f>
        <v>2.9195142135036616E-3</v>
      </c>
      <c r="S6" s="7">
        <f>$B6 * IFERROR(VLOOKUP("transport|NOx|Asthma symptoms cough", US_national_yearly!$D:$AM, 27, FALSE) / VLOOKUP("transport|NOx|Asthma symptoms cough", US_national_yearly!$D:$AM, 10, FALSE), 1)</f>
        <v>2.9343867744324897E-3</v>
      </c>
      <c r="T6" s="7">
        <f>$B6 * IFERROR(VLOOKUP("transport|NOx|Asthma symptoms cough", US_national_yearly!$D:$AM, 28, FALSE) / VLOOKUP("transport|NOx|Asthma symptoms cough", US_national_yearly!$D:$AM, 10, FALSE), 1)</f>
        <v>2.9492593353613174E-3</v>
      </c>
      <c r="U6" s="7">
        <f>$B6 * IFERROR(VLOOKUP("transport|NOx|Asthma symptoms cough", US_national_yearly!$D:$AM, 29, FALSE) / VLOOKUP("transport|NOx|Asthma symptoms cough", US_national_yearly!$D:$AM, 10, FALSE), 1)</f>
        <v>2.9641318962901442E-3</v>
      </c>
      <c r="V6" s="7">
        <f>$B6 * IFERROR(VLOOKUP("transport|NOx|Asthma symptoms cough", US_national_yearly!$D:$AM, 30, FALSE) / VLOOKUP("transport|NOx|Asthma symptoms cough", US_national_yearly!$D:$AM, 10, FALSE), 1)</f>
        <v>2.9790044572189718E-3</v>
      </c>
      <c r="W6" s="7">
        <f>$B6 * IFERROR(VLOOKUP("transport|NOx|Asthma symptoms cough", US_national_yearly!$D:$AM, 31, FALSE) / VLOOKUP("transport|NOx|Asthma symptoms cough", US_national_yearly!$D:$AM, 10, FALSE), 1)</f>
        <v>2.9938770181477995E-3</v>
      </c>
      <c r="X6" s="7">
        <f>$B6 * IFERROR(VLOOKUP("transport|NOx|Asthma symptoms cough", US_national_yearly!$D:$AM, 32, FALSE) / VLOOKUP("transport|NOx|Asthma symptoms cough", US_national_yearly!$D:$AM, 10, FALSE), 1)</f>
        <v>3.0076957642227427E-3</v>
      </c>
      <c r="Y6" s="7">
        <f>$B6 * IFERROR(VLOOKUP("transport|NOx|Asthma symptoms cough", US_national_yearly!$D:$AM, 33, FALSE) / VLOOKUP("transport|NOx|Asthma symptoms cough", US_national_yearly!$D:$AM, 10, FALSE), 1)</f>
        <v>3.0215145102976864E-3</v>
      </c>
      <c r="Z6" s="7">
        <f>$B6 * IFERROR(VLOOKUP("transport|NOx|Asthma symptoms cough", US_national_yearly!$D:$AM, 34, FALSE) / VLOOKUP("transport|NOx|Asthma symptoms cough", US_national_yearly!$D:$AM, 10, FALSE), 1)</f>
        <v>3.0353332563726296E-3</v>
      </c>
      <c r="AA6" s="7">
        <f>$B6 * IFERROR(VLOOKUP("transport|NOx|Asthma symptoms cough", US_national_yearly!$D:$AM, 35, FALSE) / VLOOKUP("transport|NOx|Asthma symptoms cough", US_national_yearly!$D:$AM, 10, FALSE), 1)</f>
        <v>3.0491520024475728E-3</v>
      </c>
      <c r="AB6" s="7">
        <f>$B6 * IFERROR(VLOOKUP("transport|NOx|Asthma symptoms cough", US_national_yearly!$D:$AM, 36, FALSE) / VLOOKUP("transport|NOx|Asthma symptoms cough", US_national_yearly!$D:$AM, 10, FALSE), 1)</f>
        <v>3.0629707485225169E-3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3.5193274177772117E-3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3.5674423774131486E-3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3.6155573370490845E-3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3.6636722966850214E-3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3.7117872563209582E-3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3.7502003279455166E-3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3.7886133995700751E-3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3.8018346296137028E-3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3.8150558596573305E-3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3.8282770897009578E-3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3.8414983197445855E-3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3.8547195497882132E-3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3.8700505506245992E-3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3.8853815514609852E-3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3.9007125522973704E-3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3.9160435531337559E-3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3.931374553970142E-3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3.9514017240061703E-3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3.9714288940421996E-3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3.9914560640782271E-3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4.0114832341142546E-3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4.031510404150283E-3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4.0501185227163877E-3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4.0687266412824923E-3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4.087334759848597E-3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4.1059428784147017E-3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4.1245509969808063E-3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5.3774942025995734E-3</v>
      </c>
      <c r="C8" s="7">
        <f>$B8 * IFERROR(VLOOKUP("transport|NOx|Asthma symptoms wheeze", US_national_yearly!$D:$AM, 11, FALSE) / VLOOKUP("transport|NOx|Asthma symptoms wheeze", US_national_yearly!$D:$AM, 10, FALSE), 1)</f>
        <v>5.4510133403054871E-3</v>
      </c>
      <c r="D8" s="7">
        <f>$B8 * IFERROR(VLOOKUP("transport|NOx|Asthma symptoms wheeze", US_national_yearly!$D:$AM, 12, FALSE) / VLOOKUP("transport|NOx|Asthma symptoms wheeze", US_national_yearly!$D:$AM, 10, FALSE), 1)</f>
        <v>5.5245324780114043E-3</v>
      </c>
      <c r="E8" s="7">
        <f>$B8 * IFERROR(VLOOKUP("transport|NOx|Asthma symptoms wheeze", US_national_yearly!$D:$AM, 13, FALSE) / VLOOKUP("transport|NOx|Asthma symptoms wheeze", US_national_yearly!$D:$AM, 10, FALSE), 1)</f>
        <v>5.598051615717318E-3</v>
      </c>
      <c r="F8" s="7">
        <f>$B8 * IFERROR(VLOOKUP("transport|NOx|Asthma symptoms wheeze", US_national_yearly!$D:$AM, 14, FALSE) / VLOOKUP("transport|NOx|Asthma symptoms wheeze", US_national_yearly!$D:$AM, 10, FALSE), 1)</f>
        <v>5.6715707534232317E-3</v>
      </c>
      <c r="G8" s="7">
        <f>$B8 * IFERROR(VLOOKUP("transport|NOx|Asthma symptoms wheeze", US_national_yearly!$D:$AM, 15, FALSE) / VLOOKUP("transport|NOx|Asthma symptoms wheeze", US_national_yearly!$D:$AM, 10, FALSE), 1)</f>
        <v>5.7302655113197175E-3</v>
      </c>
      <c r="H8" s="7">
        <f>$B8 * IFERROR(VLOOKUP("transport|NOx|Asthma symptoms wheeze", US_national_yearly!$D:$AM, 16, FALSE) / VLOOKUP("transport|NOx|Asthma symptoms wheeze", US_national_yearly!$D:$AM, 10, FALSE), 1)</f>
        <v>5.7889602692162033E-3</v>
      </c>
      <c r="I8" s="7">
        <f>$B8 * IFERROR(VLOOKUP("transport|NOx|Asthma symptoms wheeze", US_national_yearly!$D:$AM, 17, FALSE) / VLOOKUP("transport|NOx|Asthma symptoms wheeze", US_national_yearly!$D:$AM, 10, FALSE), 1)</f>
        <v>5.8091621658731222E-3</v>
      </c>
      <c r="J8" s="7">
        <f>$B8 * IFERROR(VLOOKUP("transport|NOx|Asthma symptoms wheeze", US_national_yearly!$D:$AM, 18, FALSE) / VLOOKUP("transport|NOx|Asthma symptoms wheeze", US_national_yearly!$D:$AM, 10, FALSE), 1)</f>
        <v>5.8293640625300428E-3</v>
      </c>
      <c r="K8" s="7">
        <f>$B8 * IFERROR(VLOOKUP("transport|NOx|Asthma symptoms wheeze", US_national_yearly!$D:$AM, 19, FALSE) / VLOOKUP("transport|NOx|Asthma symptoms wheeze", US_national_yearly!$D:$AM, 10, FALSE), 1)</f>
        <v>5.8495659591869618E-3</v>
      </c>
      <c r="L8" s="7">
        <f>$B8 * IFERROR(VLOOKUP("transport|NOx|Asthma symptoms wheeze", US_national_yearly!$D:$AM, 20, FALSE) / VLOOKUP("transport|NOx|Asthma symptoms wheeze", US_national_yearly!$D:$AM, 10, FALSE), 1)</f>
        <v>5.8697678558438824E-3</v>
      </c>
      <c r="M8" s="7">
        <f>$B8 * IFERROR(VLOOKUP("transport|NOx|Asthma symptoms wheeze", US_national_yearly!$D:$AM, 21, FALSE) / VLOOKUP("transport|NOx|Asthma symptoms wheeze", US_national_yearly!$D:$AM, 10, FALSE), 1)</f>
        <v>5.8899697525008022E-3</v>
      </c>
      <c r="N8" s="7">
        <f>$B8 * IFERROR(VLOOKUP("transport|NOx|Asthma symptoms wheeze", US_national_yearly!$D:$AM, 22, FALSE) / VLOOKUP("transport|NOx|Asthma symptoms wheeze", US_national_yearly!$D:$AM, 10, FALSE), 1)</f>
        <v>5.9133953560639319E-3</v>
      </c>
      <c r="O8" s="7">
        <f>$B8 * IFERROR(VLOOKUP("transport|NOx|Asthma symptoms wheeze", US_national_yearly!$D:$AM, 23, FALSE) / VLOOKUP("transport|NOx|Asthma symptoms wheeze", US_national_yearly!$D:$AM, 10, FALSE), 1)</f>
        <v>5.9368209596270633E-3</v>
      </c>
      <c r="P8" s="7">
        <f>$B8 * IFERROR(VLOOKUP("transport|NOx|Asthma symptoms wheeze", US_national_yearly!$D:$AM, 24, FALSE) / VLOOKUP("transport|NOx|Asthma symptoms wheeze", US_national_yearly!$D:$AM, 10, FALSE), 1)</f>
        <v>5.960246563190193E-3</v>
      </c>
      <c r="Q8" s="7">
        <f>$B8 * IFERROR(VLOOKUP("transport|NOx|Asthma symptoms wheeze", US_national_yearly!$D:$AM, 25, FALSE) / VLOOKUP("transport|NOx|Asthma symptoms wheeze", US_national_yearly!$D:$AM, 10, FALSE), 1)</f>
        <v>5.9836721667533245E-3</v>
      </c>
      <c r="R8" s="7">
        <f>$B8 * IFERROR(VLOOKUP("transport|NOx|Asthma symptoms wheeze", US_national_yearly!$D:$AM, 26, FALSE) / VLOOKUP("transport|NOx|Asthma symptoms wheeze", US_national_yearly!$D:$AM, 10, FALSE), 1)</f>
        <v>6.0070977703164542E-3</v>
      </c>
      <c r="S8" s="7">
        <f>$B8 * IFERROR(VLOOKUP("transport|NOx|Asthma symptoms wheeze", US_national_yearly!$D:$AM, 27, FALSE) / VLOOKUP("transport|NOx|Asthma symptoms wheeze", US_national_yearly!$D:$AM, 10, FALSE), 1)</f>
        <v>6.0376990695512238E-3</v>
      </c>
      <c r="T8" s="7">
        <f>$B8 * IFERROR(VLOOKUP("transport|NOx|Asthma symptoms wheeze", US_national_yearly!$D:$AM, 28, FALSE) / VLOOKUP("transport|NOx|Asthma symptoms wheeze", US_national_yearly!$D:$AM, 10, FALSE), 1)</f>
        <v>6.0683003687859944E-3</v>
      </c>
      <c r="U8" s="7">
        <f>$B8 * IFERROR(VLOOKUP("transport|NOx|Asthma symptoms wheeze", US_national_yearly!$D:$AM, 29, FALSE) / VLOOKUP("transport|NOx|Asthma symptoms wheeze", US_national_yearly!$D:$AM, 10, FALSE), 1)</f>
        <v>6.098901668020764E-3</v>
      </c>
      <c r="V8" s="7">
        <f>$B8 * IFERROR(VLOOKUP("transport|NOx|Asthma symptoms wheeze", US_national_yearly!$D:$AM, 30, FALSE) / VLOOKUP("transport|NOx|Asthma symptoms wheeze", US_national_yearly!$D:$AM, 10, FALSE), 1)</f>
        <v>6.1295029672555346E-3</v>
      </c>
      <c r="W8" s="7">
        <f>$B8 * IFERROR(VLOOKUP("transport|NOx|Asthma symptoms wheeze", US_national_yearly!$D:$AM, 31, FALSE) / VLOOKUP("transport|NOx|Asthma symptoms wheeze", US_national_yearly!$D:$AM, 10, FALSE), 1)</f>
        <v>6.1601042664903034E-3</v>
      </c>
      <c r="X8" s="7">
        <f>$B8 * IFERROR(VLOOKUP("transport|NOx|Asthma symptoms wheeze", US_national_yearly!$D:$AM, 32, FALSE) / VLOOKUP("transport|NOx|Asthma symptoms wheeze", US_national_yearly!$D:$AM, 10, FALSE), 1)</f>
        <v>6.1885372704341846E-3</v>
      </c>
      <c r="Y8" s="7">
        <f>$B8 * IFERROR(VLOOKUP("transport|NOx|Asthma symptoms wheeze", US_national_yearly!$D:$AM, 33, FALSE) / VLOOKUP("transport|NOx|Asthma symptoms wheeze", US_national_yearly!$D:$AM, 10, FALSE), 1)</f>
        <v>6.216970274378065E-3</v>
      </c>
      <c r="Z8" s="7">
        <f>$B8 * IFERROR(VLOOKUP("transport|NOx|Asthma symptoms wheeze", US_national_yearly!$D:$AM, 34, FALSE) / VLOOKUP("transport|NOx|Asthma symptoms wheeze", US_national_yearly!$D:$AM, 10, FALSE), 1)</f>
        <v>6.2454032783219463E-3</v>
      </c>
      <c r="AA8" s="7">
        <f>$B8 * IFERROR(VLOOKUP("transport|NOx|Asthma symptoms wheeze", US_national_yearly!$D:$AM, 35, FALSE) / VLOOKUP("transport|NOx|Asthma symptoms wheeze", US_national_yearly!$D:$AM, 10, FALSE), 1)</f>
        <v>6.2738362822658267E-3</v>
      </c>
      <c r="AB8" s="7">
        <f>$B8 * IFERROR(VLOOKUP("transport|NOx|Asthma symptoms wheeze", US_national_yearly!$D:$AM, 36, FALSE) / VLOOKUP("transport|NOx|Asthma symptoms wheeze", US_national_yearly!$D:$AM, 10, FALSE), 1)</f>
        <v>6.3022692862097088E-3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5.3461686414351528E-5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5.4795270256392663E-5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5.6128854098433812E-5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5.7462437940474961E-5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5.8796021782516109E-5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6.0070973325298444E-5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6.1345924868080778E-5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6.2428384938254184E-5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6.3510845008427576E-5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6.4593305078600996E-5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6.5675765148774402E-5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6.6758225218947807E-5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6.7481869265075312E-5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6.820551331120283E-5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6.8929157357330335E-5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6.9652801403457867E-5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7.0376445449585372E-5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7.0764154321018165E-5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7.1151863192450945E-5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7.1539572063883739E-5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7.1927280935316505E-5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7.2314989806749312E-5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7.2579938450599847E-5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7.2844887094450396E-5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7.3109835738300946E-5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7.3374784382151495E-5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7.363973302600203E-5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3.6686813071961911E-4</v>
      </c>
      <c r="C13" s="7">
        <f>$B13 * IFERROR(VLOOKUP("transport|NOx|Non-fatal heart attacks", US_national_yearly!$D:$AM, 11, FALSE) / VLOOKUP("transport|NOx|Non-fatal heart attacks", US_national_yearly!$D:$AM, 10, FALSE), 1)</f>
        <v>3.7735656734544696E-4</v>
      </c>
      <c r="D13" s="7">
        <f>$B13 * IFERROR(VLOOKUP("transport|NOx|Non-fatal heart attacks", US_national_yearly!$D:$AM, 12, FALSE) / VLOOKUP("transport|NOx|Non-fatal heart attacks", US_national_yearly!$D:$AM, 10, FALSE), 1)</f>
        <v>3.878450039712748E-4</v>
      </c>
      <c r="E13" s="7">
        <f>$B13 * IFERROR(VLOOKUP("transport|NOx|Non-fatal heart attacks", US_national_yearly!$D:$AM, 13, FALSE) / VLOOKUP("transport|NOx|Non-fatal heart attacks", US_national_yearly!$D:$AM, 10, FALSE), 1)</f>
        <v>3.9833344059710254E-4</v>
      </c>
      <c r="F13" s="7">
        <f>$B13 * IFERROR(VLOOKUP("transport|NOx|Non-fatal heart attacks", US_national_yearly!$D:$AM, 14, FALSE) / VLOOKUP("transport|NOx|Non-fatal heart attacks", US_national_yearly!$D:$AM, 10, FALSE), 1)</f>
        <v>4.0882187722293038E-4</v>
      </c>
      <c r="G13" s="7">
        <f>$B13 * IFERROR(VLOOKUP("transport|NOx|Non-fatal heart attacks", US_national_yearly!$D:$AM, 15, FALSE) / VLOOKUP("transport|NOx|Non-fatal heart attacks", US_national_yearly!$D:$AM, 10, FALSE), 1)</f>
        <v>4.1862329945115443E-4</v>
      </c>
      <c r="H13" s="7">
        <f>$B13 * IFERROR(VLOOKUP("transport|NOx|Non-fatal heart attacks", US_national_yearly!$D:$AM, 16, FALSE) / VLOOKUP("transport|NOx|Non-fatal heart attacks", US_national_yearly!$D:$AM, 10, FALSE), 1)</f>
        <v>4.2842472167937853E-4</v>
      </c>
      <c r="I13" s="7">
        <f>$B13 * IFERROR(VLOOKUP("transport|NOx|Non-fatal heart attacks", US_national_yearly!$D:$AM, 17, FALSE) / VLOOKUP("transport|NOx|Non-fatal heart attacks", US_national_yearly!$D:$AM, 10, FALSE), 1)</f>
        <v>4.3615202269679435E-4</v>
      </c>
      <c r="J13" s="7">
        <f>$B13 * IFERROR(VLOOKUP("transport|NOx|Non-fatal heart attacks", US_national_yearly!$D:$AM, 18, FALSE) / VLOOKUP("transport|NOx|Non-fatal heart attacks", US_national_yearly!$D:$AM, 10, FALSE), 1)</f>
        <v>4.4387932371421022E-4</v>
      </c>
      <c r="K13" s="7">
        <f>$B13 * IFERROR(VLOOKUP("transport|NOx|Non-fatal heart attacks", US_national_yearly!$D:$AM, 19, FALSE) / VLOOKUP("transport|NOx|Non-fatal heart attacks", US_national_yearly!$D:$AM, 10, FALSE), 1)</f>
        <v>4.5160662473162576E-4</v>
      </c>
      <c r="L13" s="7">
        <f>$B13 * IFERROR(VLOOKUP("transport|NOx|Non-fatal heart attacks", US_national_yearly!$D:$AM, 20, FALSE) / VLOOKUP("transport|NOx|Non-fatal heart attacks", US_national_yearly!$D:$AM, 10, FALSE), 1)</f>
        <v>4.5933392574904191E-4</v>
      </c>
      <c r="M13" s="7">
        <f>$B13 * IFERROR(VLOOKUP("transport|NOx|Non-fatal heart attacks", US_national_yearly!$D:$AM, 21, FALSE) / VLOOKUP("transport|NOx|Non-fatal heart attacks", US_national_yearly!$D:$AM, 10, FALSE), 1)</f>
        <v>4.6706122676645761E-4</v>
      </c>
      <c r="N13" s="7">
        <f>$B13 * IFERROR(VLOOKUP("transport|NOx|Non-fatal heart attacks", US_national_yearly!$D:$AM, 22, FALSE) / VLOOKUP("transport|NOx|Non-fatal heart attacks", US_national_yearly!$D:$AM, 10, FALSE), 1)</f>
        <v>4.7171020540112994E-4</v>
      </c>
      <c r="O13" s="7">
        <f>$B13 * IFERROR(VLOOKUP("transport|NOx|Non-fatal heart attacks", US_national_yearly!$D:$AM, 23, FALSE) / VLOOKUP("transport|NOx|Non-fatal heart attacks", US_national_yearly!$D:$AM, 10, FALSE), 1)</f>
        <v>4.7635918403580231E-4</v>
      </c>
      <c r="P13" s="7">
        <f>$B13 * IFERROR(VLOOKUP("transport|NOx|Non-fatal heart attacks", US_national_yearly!$D:$AM, 24, FALSE) / VLOOKUP("transport|NOx|Non-fatal heart attacks", US_national_yearly!$D:$AM, 10, FALSE), 1)</f>
        <v>4.8100816267047458E-4</v>
      </c>
      <c r="Q13" s="7">
        <f>$B13 * IFERROR(VLOOKUP("transport|NOx|Non-fatal heart attacks", US_national_yearly!$D:$AM, 25, FALSE) / VLOOKUP("transport|NOx|Non-fatal heart attacks", US_national_yearly!$D:$AM, 10, FALSE), 1)</f>
        <v>4.8565714130514707E-4</v>
      </c>
      <c r="R13" s="7">
        <f>$B13 * IFERROR(VLOOKUP("transport|NOx|Non-fatal heart attacks", US_national_yearly!$D:$AM, 26, FALSE) / VLOOKUP("transport|NOx|Non-fatal heart attacks", US_national_yearly!$D:$AM, 10, FALSE), 1)</f>
        <v>4.9030611993981939E-4</v>
      </c>
      <c r="S13" s="7">
        <f>$B13 * IFERROR(VLOOKUP("transport|NOx|Non-fatal heart attacks", US_national_yearly!$D:$AM, 27, FALSE) / VLOOKUP("transport|NOx|Non-fatal heart attacks", US_national_yearly!$D:$AM, 10, FALSE), 1)</f>
        <v>4.9241492880257255E-4</v>
      </c>
      <c r="T13" s="7">
        <f>$B13 * IFERROR(VLOOKUP("transport|NOx|Non-fatal heart attacks", US_national_yearly!$D:$AM, 28, FALSE) / VLOOKUP("transport|NOx|Non-fatal heart attacks", US_national_yearly!$D:$AM, 10, FALSE), 1)</f>
        <v>4.945237376653256E-4</v>
      </c>
      <c r="U13" s="7">
        <f>$B13 * IFERROR(VLOOKUP("transport|NOx|Non-fatal heart attacks", US_national_yearly!$D:$AM, 29, FALSE) / VLOOKUP("transport|NOx|Non-fatal heart attacks", US_national_yearly!$D:$AM, 10, FALSE), 1)</f>
        <v>4.9663254652807865E-4</v>
      </c>
      <c r="V13" s="7">
        <f>$B13 * IFERROR(VLOOKUP("transport|NOx|Non-fatal heart attacks", US_national_yearly!$D:$AM, 30, FALSE) / VLOOKUP("transport|NOx|Non-fatal heart attacks", US_national_yearly!$D:$AM, 10, FALSE), 1)</f>
        <v>4.9874135539083181E-4</v>
      </c>
      <c r="W13" s="7">
        <f>$B13 * IFERROR(VLOOKUP("transport|NOx|Non-fatal heart attacks", US_national_yearly!$D:$AM, 31, FALSE) / VLOOKUP("transport|NOx|Non-fatal heart attacks", US_national_yearly!$D:$AM, 10, FALSE), 1)</f>
        <v>5.0085016425358486E-4</v>
      </c>
      <c r="X13" s="7">
        <f>$B13 * IFERROR(VLOOKUP("transport|NOx|Non-fatal heart attacks", US_national_yearly!$D:$AM, 32, FALSE) / VLOOKUP("transport|NOx|Non-fatal heart attacks", US_national_yearly!$D:$AM, 10, FALSE), 1)</f>
        <v>5.0225938129742518E-4</v>
      </c>
      <c r="Y13" s="7">
        <f>$B13 * IFERROR(VLOOKUP("transport|NOx|Non-fatal heart attacks", US_national_yearly!$D:$AM, 33, FALSE) / VLOOKUP("transport|NOx|Non-fatal heart attacks", US_national_yearly!$D:$AM, 10, FALSE), 1)</f>
        <v>5.0366859834126551E-4</v>
      </c>
      <c r="Z13" s="7">
        <f>$B13 * IFERROR(VLOOKUP("transport|NOx|Non-fatal heart attacks", US_national_yearly!$D:$AM, 34, FALSE) / VLOOKUP("transport|NOx|Non-fatal heart attacks", US_national_yearly!$D:$AM, 10, FALSE), 1)</f>
        <v>5.0507781538510572E-4</v>
      </c>
      <c r="AA13" s="7">
        <f>$B13 * IFERROR(VLOOKUP("transport|NOx|Non-fatal heart attacks", US_national_yearly!$D:$AM, 35, FALSE) / VLOOKUP("transport|NOx|Non-fatal heart attacks", US_national_yearly!$D:$AM, 10, FALSE), 1)</f>
        <v>5.0648703242894594E-4</v>
      </c>
      <c r="AB13" s="7">
        <f>$B13 * IFERROR(VLOOKUP("transport|NOx|Non-fatal heart attacks", US_national_yearly!$D:$AM, 36, FALSE) / VLOOKUP("transport|NOx|Non-fatal heart attacks", US_national_yearly!$D:$AM, 10, FALSE), 1)</f>
        <v>5.0789624947278626E-4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0.32380970425943545</v>
      </c>
      <c r="C14" s="7">
        <f>$B14 * IFERROR(VLOOKUP("transport|NOx|Minor restricted activity days", US_national_yearly!$D:$AM, 11, FALSE) / VLOOKUP("transport|NOx|Minor restricted activity days", US_national_yearly!$D:$AM, 10, FALSE), 1)</f>
        <v>0.32430615887736364</v>
      </c>
      <c r="D14" s="7">
        <f>$B14 * IFERROR(VLOOKUP("transport|NOx|Minor restricted activity days", US_national_yearly!$D:$AM, 12, FALSE) / VLOOKUP("transport|NOx|Minor restricted activity days", US_national_yearly!$D:$AM, 10, FALSE), 1)</f>
        <v>0.32480261349529188</v>
      </c>
      <c r="E14" s="7">
        <f>$B14 * IFERROR(VLOOKUP("transport|NOx|Minor restricted activity days", US_national_yearly!$D:$AM, 13, FALSE) / VLOOKUP("transport|NOx|Minor restricted activity days", US_national_yearly!$D:$AM, 10, FALSE), 1)</f>
        <v>0.32529906811322012</v>
      </c>
      <c r="F14" s="7">
        <f>$B14 * IFERROR(VLOOKUP("transport|NOx|Minor restricted activity days", US_national_yearly!$D:$AM, 14, FALSE) / VLOOKUP("transport|NOx|Minor restricted activity days", US_national_yearly!$D:$AM, 10, FALSE), 1)</f>
        <v>0.32579552273114831</v>
      </c>
      <c r="G14" s="7">
        <f>$B14 * IFERROR(VLOOKUP("transport|NOx|Minor restricted activity days", US_national_yearly!$D:$AM, 15, FALSE) / VLOOKUP("transport|NOx|Minor restricted activity days", US_national_yearly!$D:$AM, 10, FALSE), 1)</f>
        <v>0.32669200160477374</v>
      </c>
      <c r="H14" s="7">
        <f>$B14 * IFERROR(VLOOKUP("transport|NOx|Minor restricted activity days", US_national_yearly!$D:$AM, 16, FALSE) / VLOOKUP("transport|NOx|Minor restricted activity days", US_national_yearly!$D:$AM, 10, FALSE), 1)</f>
        <v>0.32758848047839906</v>
      </c>
      <c r="I14" s="7">
        <f>$B14 * IFERROR(VLOOKUP("transport|NOx|Minor restricted activity days", US_national_yearly!$D:$AM, 17, FALSE) / VLOOKUP("transport|NOx|Minor restricted activity days", US_national_yearly!$D:$AM, 10, FALSE), 1)</f>
        <v>0.32934195770476743</v>
      </c>
      <c r="J14" s="7">
        <f>$B14 * IFERROR(VLOOKUP("transport|NOx|Minor restricted activity days", US_national_yearly!$D:$AM, 18, FALSE) / VLOOKUP("transport|NOx|Minor restricted activity days", US_national_yearly!$D:$AM, 10, FALSE), 1)</f>
        <v>0.33109543493113575</v>
      </c>
      <c r="K14" s="7">
        <f>$B14 * IFERROR(VLOOKUP("transport|NOx|Minor restricted activity days", US_national_yearly!$D:$AM, 19, FALSE) / VLOOKUP("transport|NOx|Minor restricted activity days", US_national_yearly!$D:$AM, 10, FALSE), 1)</f>
        <v>0.33284891215750412</v>
      </c>
      <c r="L14" s="7">
        <f>$B14 * IFERROR(VLOOKUP("transport|NOx|Minor restricted activity days", US_national_yearly!$D:$AM, 20, FALSE) / VLOOKUP("transport|NOx|Minor restricted activity days", US_national_yearly!$D:$AM, 10, FALSE), 1)</f>
        <v>0.33460238938387238</v>
      </c>
      <c r="M14" s="7">
        <f>$B14 * IFERROR(VLOOKUP("transport|NOx|Minor restricted activity days", US_national_yearly!$D:$AM, 21, FALSE) / VLOOKUP("transport|NOx|Minor restricted activity days", US_national_yearly!$D:$AM, 10, FALSE), 1)</f>
        <v>0.33635586661024075</v>
      </c>
      <c r="N14" s="7">
        <f>$B14 * IFERROR(VLOOKUP("transport|NOx|Minor restricted activity days", US_national_yearly!$D:$AM, 22, FALSE) / VLOOKUP("transport|NOx|Minor restricted activity days", US_national_yearly!$D:$AM, 10, FALSE), 1)</f>
        <v>0.33886644840605079</v>
      </c>
      <c r="O14" s="7">
        <f>$B14 * IFERROR(VLOOKUP("transport|NOx|Minor restricted activity days", US_national_yearly!$D:$AM, 23, FALSE) / VLOOKUP("transport|NOx|Minor restricted activity days", US_national_yearly!$D:$AM, 10, FALSE), 1)</f>
        <v>0.34137703020186083</v>
      </c>
      <c r="P14" s="7">
        <f>$B14 * IFERROR(VLOOKUP("transport|NOx|Minor restricted activity days", US_national_yearly!$D:$AM, 24, FALSE) / VLOOKUP("transport|NOx|Minor restricted activity days", US_national_yearly!$D:$AM, 10, FALSE), 1)</f>
        <v>0.34388761199767087</v>
      </c>
      <c r="Q14" s="7">
        <f>$B14 * IFERROR(VLOOKUP("transport|NOx|Minor restricted activity days", US_national_yearly!$D:$AM, 25, FALSE) / VLOOKUP("transport|NOx|Minor restricted activity days", US_national_yearly!$D:$AM, 10, FALSE), 1)</f>
        <v>0.34639819379348086</v>
      </c>
      <c r="R14" s="7">
        <f>$B14 * IFERROR(VLOOKUP("transport|NOx|Minor restricted activity days", US_national_yearly!$D:$AM, 26, FALSE) / VLOOKUP("transport|NOx|Minor restricted activity days", US_national_yearly!$D:$AM, 10, FALSE), 1)</f>
        <v>0.3489087755892909</v>
      </c>
      <c r="S14" s="7">
        <f>$B14 * IFERROR(VLOOKUP("transport|NOx|Minor restricted activity days", US_national_yearly!$D:$AM, 27, FALSE) / VLOOKUP("transport|NOx|Minor restricted activity days", US_national_yearly!$D:$AM, 10, FALSE), 1)</f>
        <v>0.35141882954065184</v>
      </c>
      <c r="T14" s="7">
        <f>$B14 * IFERROR(VLOOKUP("transport|NOx|Minor restricted activity days", US_national_yearly!$D:$AM, 28, FALSE) / VLOOKUP("transport|NOx|Minor restricted activity days", US_national_yearly!$D:$AM, 10, FALSE), 1)</f>
        <v>0.35392888349201279</v>
      </c>
      <c r="U14" s="7">
        <f>$B14 * IFERROR(VLOOKUP("transport|NOx|Minor restricted activity days", US_national_yearly!$D:$AM, 29, FALSE) / VLOOKUP("transport|NOx|Minor restricted activity days", US_national_yearly!$D:$AM, 10, FALSE), 1)</f>
        <v>0.35643893744337374</v>
      </c>
      <c r="V14" s="7">
        <f>$B14 * IFERROR(VLOOKUP("transport|NOx|Minor restricted activity days", US_national_yearly!$D:$AM, 30, FALSE) / VLOOKUP("transport|NOx|Minor restricted activity days", US_national_yearly!$D:$AM, 10, FALSE), 1)</f>
        <v>0.35894899139473468</v>
      </c>
      <c r="W14" s="7">
        <f>$B14 * IFERROR(VLOOKUP("transport|NOx|Minor restricted activity days", US_national_yearly!$D:$AM, 31, FALSE) / VLOOKUP("transport|NOx|Minor restricted activity days", US_national_yearly!$D:$AM, 10, FALSE), 1)</f>
        <v>0.36145904534609558</v>
      </c>
      <c r="X14" s="7">
        <f>$B14 * IFERROR(VLOOKUP("transport|NOx|Minor restricted activity days", US_national_yearly!$D:$AM, 32, FALSE) / VLOOKUP("transport|NOx|Minor restricted activity days", US_national_yearly!$D:$AM, 10, FALSE), 1)</f>
        <v>0.36358120033938296</v>
      </c>
      <c r="Y14" s="7">
        <f>$B14 * IFERROR(VLOOKUP("transport|NOx|Minor restricted activity days", US_national_yearly!$D:$AM, 33, FALSE) / VLOOKUP("transport|NOx|Minor restricted activity days", US_national_yearly!$D:$AM, 10, FALSE), 1)</f>
        <v>0.3657033553326704</v>
      </c>
      <c r="Z14" s="7">
        <f>$B14 * IFERROR(VLOOKUP("transport|NOx|Minor restricted activity days", US_national_yearly!$D:$AM, 34, FALSE) / VLOOKUP("transport|NOx|Minor restricted activity days", US_national_yearly!$D:$AM, 10, FALSE), 1)</f>
        <v>0.36782551032595778</v>
      </c>
      <c r="AA14" s="7">
        <f>$B14 * IFERROR(VLOOKUP("transport|NOx|Minor restricted activity days", US_national_yearly!$D:$AM, 35, FALSE) / VLOOKUP("transport|NOx|Minor restricted activity days", US_national_yearly!$D:$AM, 10, FALSE), 1)</f>
        <v>0.36994766531924517</v>
      </c>
      <c r="AB14" s="7">
        <f>$B14 * IFERROR(VLOOKUP("transport|NOx|Minor restricted activity days", US_national_yearly!$D:$AM, 36, FALSE) / VLOOKUP("transport|NOx|Minor restricted activity days", US_national_yearly!$D:$AM, 10, FALSE), 1)</f>
        <v>0.37206982031253255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5.5081691846700913E-2</v>
      </c>
      <c r="C15" s="7">
        <f>$B15 * IFERROR(VLOOKUP("transport|NOx|Work loss days", US_national_yearly!$D:$AM, 11, FALSE) / VLOOKUP("transport|NOx|Work loss days", US_national_yearly!$D:$AM, 10, FALSE), 1)</f>
        <v>5.5204218107006056E-2</v>
      </c>
      <c r="D15" s="7">
        <f>$B15 * IFERROR(VLOOKUP("transport|NOx|Work loss days", US_national_yearly!$D:$AM, 12, FALSE) / VLOOKUP("transport|NOx|Work loss days", US_national_yearly!$D:$AM, 10, FALSE), 1)</f>
        <v>5.5326744367311213E-2</v>
      </c>
      <c r="E15" s="7">
        <f>$B15 * IFERROR(VLOOKUP("transport|NOx|Work loss days", US_national_yearly!$D:$AM, 13, FALSE) / VLOOKUP("transport|NOx|Work loss days", US_national_yearly!$D:$AM, 10, FALSE), 1)</f>
        <v>5.5449270627616364E-2</v>
      </c>
      <c r="F15" s="7">
        <f>$B15 * IFERROR(VLOOKUP("transport|NOx|Work loss days", US_national_yearly!$D:$AM, 14, FALSE) / VLOOKUP("transport|NOx|Work loss days", US_national_yearly!$D:$AM, 10, FALSE), 1)</f>
        <v>5.5571796887921521E-2</v>
      </c>
      <c r="G15" s="7">
        <f>$B15 * IFERROR(VLOOKUP("transport|NOx|Work loss days", US_national_yearly!$D:$AM, 15, FALSE) / VLOOKUP("transport|NOx|Work loss days", US_national_yearly!$D:$AM, 10, FALSE), 1)</f>
        <v>5.5750686273170438E-2</v>
      </c>
      <c r="H15" s="7">
        <f>$B15 * IFERROR(VLOOKUP("transport|NOx|Work loss days", US_national_yearly!$D:$AM, 16, FALSE) / VLOOKUP("transport|NOx|Work loss days", US_national_yearly!$D:$AM, 10, FALSE), 1)</f>
        <v>5.592957565841937E-2</v>
      </c>
      <c r="I15" s="7">
        <f>$B15 * IFERROR(VLOOKUP("transport|NOx|Work loss days", US_national_yearly!$D:$AM, 17, FALSE) / VLOOKUP("transport|NOx|Work loss days", US_national_yearly!$D:$AM, 10, FALSE), 1)</f>
        <v>5.6219366767394738E-2</v>
      </c>
      <c r="J15" s="7">
        <f>$B15 * IFERROR(VLOOKUP("transport|NOx|Work loss days", US_national_yearly!$D:$AM, 18, FALSE) / VLOOKUP("transport|NOx|Work loss days", US_national_yearly!$D:$AM, 10, FALSE), 1)</f>
        <v>5.6509157876370113E-2</v>
      </c>
      <c r="K15" s="7">
        <f>$B15 * IFERROR(VLOOKUP("transport|NOx|Work loss days", US_national_yearly!$D:$AM, 19, FALSE) / VLOOKUP("transport|NOx|Work loss days", US_national_yearly!$D:$AM, 10, FALSE), 1)</f>
        <v>5.6798948985345481E-2</v>
      </c>
      <c r="L15" s="7">
        <f>$B15 * IFERROR(VLOOKUP("transport|NOx|Work loss days", US_national_yearly!$D:$AM, 20, FALSE) / VLOOKUP("transport|NOx|Work loss days", US_national_yearly!$D:$AM, 10, FALSE), 1)</f>
        <v>5.7088740094320842E-2</v>
      </c>
      <c r="M15" s="7">
        <f>$B15 * IFERROR(VLOOKUP("transport|NOx|Work loss days", US_national_yearly!$D:$AM, 21, FALSE) / VLOOKUP("transport|NOx|Work loss days", US_national_yearly!$D:$AM, 10, FALSE), 1)</f>
        <v>5.7378531203296224E-2</v>
      </c>
      <c r="N15" s="7">
        <f>$B15 * IFERROR(VLOOKUP("transport|NOx|Work loss days", US_national_yearly!$D:$AM, 22, FALSE) / VLOOKUP("transport|NOx|Work loss days", US_national_yearly!$D:$AM, 10, FALSE), 1)</f>
        <v>5.7755676549253135E-2</v>
      </c>
      <c r="O15" s="7">
        <f>$B15 * IFERROR(VLOOKUP("transport|NOx|Work loss days", US_national_yearly!$D:$AM, 23, FALSE) / VLOOKUP("transport|NOx|Work loss days", US_national_yearly!$D:$AM, 10, FALSE), 1)</f>
        <v>5.8132821895210046E-2</v>
      </c>
      <c r="P15" s="7">
        <f>$B15 * IFERROR(VLOOKUP("transport|NOx|Work loss days", US_national_yearly!$D:$AM, 24, FALSE) / VLOOKUP("transport|NOx|Work loss days", US_national_yearly!$D:$AM, 10, FALSE), 1)</f>
        <v>5.8509967241166957E-2</v>
      </c>
      <c r="Q15" s="7">
        <f>$B15 * IFERROR(VLOOKUP("transport|NOx|Work loss days", US_national_yearly!$D:$AM, 25, FALSE) / VLOOKUP("transport|NOx|Work loss days", US_national_yearly!$D:$AM, 10, FALSE), 1)</f>
        <v>5.8887112587123862E-2</v>
      </c>
      <c r="R15" s="7">
        <f>$B15 * IFERROR(VLOOKUP("transport|NOx|Work loss days", US_national_yearly!$D:$AM, 26, FALSE) / VLOOKUP("transport|NOx|Work loss days", US_national_yearly!$D:$AM, 10, FALSE), 1)</f>
        <v>5.926425793308078E-2</v>
      </c>
      <c r="S15" s="7">
        <f>$B15 * IFERROR(VLOOKUP("transport|NOx|Work loss days", US_national_yearly!$D:$AM, 27, FALSE) / VLOOKUP("transport|NOx|Work loss days", US_national_yearly!$D:$AM, 10, FALSE), 1)</f>
        <v>5.9684726771262749E-2</v>
      </c>
      <c r="T15" s="7">
        <f>$B15 * IFERROR(VLOOKUP("transport|NOx|Work loss days", US_national_yearly!$D:$AM, 28, FALSE) / VLOOKUP("transport|NOx|Work loss days", US_national_yearly!$D:$AM, 10, FALSE), 1)</f>
        <v>6.0105195609444717E-2</v>
      </c>
      <c r="U15" s="7">
        <f>$B15 * IFERROR(VLOOKUP("transport|NOx|Work loss days", US_national_yearly!$D:$AM, 29, FALSE) / VLOOKUP("transport|NOx|Work loss days", US_national_yearly!$D:$AM, 10, FALSE), 1)</f>
        <v>6.0525664447626665E-2</v>
      </c>
      <c r="V15" s="7">
        <f>$B15 * IFERROR(VLOOKUP("transport|NOx|Work loss days", US_national_yearly!$D:$AM, 30, FALSE) / VLOOKUP("transport|NOx|Work loss days", US_national_yearly!$D:$AM, 10, FALSE), 1)</f>
        <v>6.0946133285808633E-2</v>
      </c>
      <c r="W15" s="7">
        <f>$B15 * IFERROR(VLOOKUP("transport|NOx|Work loss days", US_national_yearly!$D:$AM, 31, FALSE) / VLOOKUP("transport|NOx|Work loss days", US_national_yearly!$D:$AM, 10, FALSE), 1)</f>
        <v>6.1366602123990602E-2</v>
      </c>
      <c r="X15" s="7">
        <f>$B15 * IFERROR(VLOOKUP("transport|NOx|Work loss days", US_national_yearly!$D:$AM, 32, FALSE) / VLOOKUP("transport|NOx|Work loss days", US_national_yearly!$D:$AM, 10, FALSE), 1)</f>
        <v>6.1731546657504577E-2</v>
      </c>
      <c r="Y15" s="7">
        <f>$B15 * IFERROR(VLOOKUP("transport|NOx|Work loss days", US_national_yearly!$D:$AM, 33, FALSE) / VLOOKUP("transport|NOx|Work loss days", US_national_yearly!$D:$AM, 10, FALSE), 1)</f>
        <v>6.2096491191018559E-2</v>
      </c>
      <c r="Z15" s="7">
        <f>$B15 * IFERROR(VLOOKUP("transport|NOx|Work loss days", US_national_yearly!$D:$AM, 34, FALSE) / VLOOKUP("transport|NOx|Work loss days", US_national_yearly!$D:$AM, 10, FALSE), 1)</f>
        <v>6.2461435724532534E-2</v>
      </c>
      <c r="AA15" s="7">
        <f>$B15 * IFERROR(VLOOKUP("transport|NOx|Work loss days", US_national_yearly!$D:$AM, 35, FALSE) / VLOOKUP("transport|NOx|Work loss days", US_national_yearly!$D:$AM, 10, FALSE), 1)</f>
        <v>6.2826380258046516E-2</v>
      </c>
      <c r="AB15" s="7">
        <f>$B15 * IFERROR(VLOOKUP("transport|NOx|Work loss days", US_national_yearly!$D:$AM, 36, FALSE) / VLOOKUP("transport|NOx|Work loss days", US_national_yearly!$D:$AM, 10, FALSE), 1)</f>
        <v>6.3191324791560491E-2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7.0360350502481758E-5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7.2427863489441695E-5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7.4495376476401632E-5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7.6562889463361556E-5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7.8630402450321506E-5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8.0594197873803315E-5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8.2557993297285138E-5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8.4209393750167474E-5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8.5860794203049796E-5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8.7512194655932132E-5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8.9163595108814454E-5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9.081499556169679E-5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9.184767098368443E-5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9.2880346405672069E-5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9.3913021827659709E-5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9.4945697249647348E-5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9.5978372671634988E-5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9.6449554108924446E-5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9.6920735546213917E-5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9.7391916983503361E-5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9.7863098420792832E-5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9.8334279858082303E-5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9.8596508663612834E-5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9.8858737469143378E-5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9.9120966274673922E-5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9.9383195080204452E-5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9.9645423885734997E-5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6.8520175618283193E-3</v>
      </c>
      <c r="C2" s="7">
        <f>$B2 * IFERROR(VLOOKUP("transport|SO2|Premature mortality", US_national_yearly!$D:$AM, 11, FALSE) / VLOOKUP("transport|SO2|Premature mortality", US_national_yearly!$D:$AM, 10, FALSE), 1)</f>
        <v>6.9387946568658923E-3</v>
      </c>
      <c r="D2" s="7">
        <f>$B2 * IFERROR(VLOOKUP("transport|SO2|Premature mortality", US_national_yearly!$D:$AM, 12, FALSE) / VLOOKUP("transport|SO2|Premature mortality", US_national_yearly!$D:$AM, 10, FALSE), 1)</f>
        <v>7.025571751903467E-3</v>
      </c>
      <c r="E2" s="7">
        <f>$B2 * IFERROR(VLOOKUP("transport|SO2|Premature mortality", US_national_yearly!$D:$AM, 13, FALSE) / VLOOKUP("transport|SO2|Premature mortality", US_national_yearly!$D:$AM, 10, FALSE), 1)</f>
        <v>7.11234884694104E-3</v>
      </c>
      <c r="F2" s="7">
        <f>$B2 * IFERROR(VLOOKUP("transport|SO2|Premature mortality", US_national_yearly!$D:$AM, 14, FALSE) / VLOOKUP("transport|SO2|Premature mortality", US_national_yearly!$D:$AM, 10, FALSE), 1)</f>
        <v>7.199125941978613E-3</v>
      </c>
      <c r="G2" s="7">
        <f>$B2 * IFERROR(VLOOKUP("transport|SO2|Premature mortality", US_national_yearly!$D:$AM, 15, FALSE) / VLOOKUP("transport|SO2|Premature mortality", US_national_yearly!$D:$AM, 10, FALSE), 1)</f>
        <v>7.3663404861237982E-3</v>
      </c>
      <c r="H2" s="7">
        <f>$B2 * IFERROR(VLOOKUP("transport|SO2|Premature mortality", US_national_yearly!$D:$AM, 16, FALSE) / VLOOKUP("transport|SO2|Premature mortality", US_national_yearly!$D:$AM, 10, FALSE), 1)</f>
        <v>7.5335550302689808E-3</v>
      </c>
      <c r="I2" s="7">
        <f>$B2 * IFERROR(VLOOKUP("transport|SO2|Premature mortality", US_national_yearly!$D:$AM, 17, FALSE) / VLOOKUP("transport|SO2|Premature mortality", US_national_yearly!$D:$AM, 10, FALSE), 1)</f>
        <v>7.6440606469473449E-3</v>
      </c>
      <c r="J2" s="7">
        <f>$B2 * IFERROR(VLOOKUP("transport|SO2|Premature mortality", US_national_yearly!$D:$AM, 18, FALSE) / VLOOKUP("transport|SO2|Premature mortality", US_national_yearly!$D:$AM, 10, FALSE), 1)</f>
        <v>7.754566263625709E-3</v>
      </c>
      <c r="K2" s="7">
        <f>$B2 * IFERROR(VLOOKUP("transport|SO2|Premature mortality", US_national_yearly!$D:$AM, 19, FALSE) / VLOOKUP("transport|SO2|Premature mortality", US_national_yearly!$D:$AM, 10, FALSE), 1)</f>
        <v>7.8650718803040722E-3</v>
      </c>
      <c r="L2" s="7">
        <f>$B2 * IFERROR(VLOOKUP("transport|SO2|Premature mortality", US_national_yearly!$D:$AM, 20, FALSE) / VLOOKUP("transport|SO2|Premature mortality", US_national_yearly!$D:$AM, 10, FALSE), 1)</f>
        <v>7.9755774969824354E-3</v>
      </c>
      <c r="M2" s="7">
        <f>$B2 * IFERROR(VLOOKUP("transport|SO2|Premature mortality", US_national_yearly!$D:$AM, 21, FALSE) / VLOOKUP("transport|SO2|Premature mortality", US_national_yearly!$D:$AM, 10, FALSE), 1)</f>
        <v>8.0860831136608004E-3</v>
      </c>
      <c r="N2" s="7">
        <f>$B2 * IFERROR(VLOOKUP("transport|SO2|Premature mortality", US_national_yearly!$D:$AM, 22, FALSE) / VLOOKUP("transport|SO2|Premature mortality", US_national_yearly!$D:$AM, 10, FALSE), 1)</f>
        <v>8.172426208407307E-3</v>
      </c>
      <c r="O2" s="7">
        <f>$B2 * IFERROR(VLOOKUP("transport|SO2|Premature mortality", US_national_yearly!$D:$AM, 23, FALSE) / VLOOKUP("transport|SO2|Premature mortality", US_national_yearly!$D:$AM, 10, FALSE), 1)</f>
        <v>8.2587693031538137E-3</v>
      </c>
      <c r="P2" s="7">
        <f>$B2 * IFERROR(VLOOKUP("transport|SO2|Premature mortality", US_national_yearly!$D:$AM, 24, FALSE) / VLOOKUP("transport|SO2|Premature mortality", US_national_yearly!$D:$AM, 10, FALSE), 1)</f>
        <v>8.3451123979003203E-3</v>
      </c>
      <c r="Q2" s="7">
        <f>$B2 * IFERROR(VLOOKUP("transport|SO2|Premature mortality", US_national_yearly!$D:$AM, 25, FALSE) / VLOOKUP("transport|SO2|Premature mortality", US_national_yearly!$D:$AM, 10, FALSE), 1)</f>
        <v>8.431455492646827E-3</v>
      </c>
      <c r="R2" s="7">
        <f>$B2 * IFERROR(VLOOKUP("transport|SO2|Premature mortality", US_national_yearly!$D:$AM, 26, FALSE) / VLOOKUP("transport|SO2|Premature mortality", US_national_yearly!$D:$AM, 10, FALSE), 1)</f>
        <v>8.5177985873933319E-3</v>
      </c>
      <c r="S2" s="7">
        <f>$B2 * IFERROR(VLOOKUP("transport|SO2|Premature mortality", US_national_yearly!$D:$AM, 27, FALSE) / VLOOKUP("transport|SO2|Premature mortality", US_national_yearly!$D:$AM, 10, FALSE), 1)</f>
        <v>8.5640364643055963E-3</v>
      </c>
      <c r="T2" s="7">
        <f>$B2 * IFERROR(VLOOKUP("transport|SO2|Premature mortality", US_national_yearly!$D:$AM, 28, FALSE) / VLOOKUP("transport|SO2|Premature mortality", US_national_yearly!$D:$AM, 10, FALSE), 1)</f>
        <v>8.6102743412178606E-3</v>
      </c>
      <c r="U2" s="7">
        <f>$B2 * IFERROR(VLOOKUP("transport|SO2|Premature mortality", US_national_yearly!$D:$AM, 29, FALSE) / VLOOKUP("transport|SO2|Premature mortality", US_national_yearly!$D:$AM, 10, FALSE), 1)</f>
        <v>8.6565122181301232E-3</v>
      </c>
      <c r="V2" s="7">
        <f>$B2 * IFERROR(VLOOKUP("transport|SO2|Premature mortality", US_national_yearly!$D:$AM, 30, FALSE) / VLOOKUP("transport|SO2|Premature mortality", US_national_yearly!$D:$AM, 10, FALSE), 1)</f>
        <v>8.7027500950423876E-3</v>
      </c>
      <c r="W2" s="7">
        <f>$B2 * IFERROR(VLOOKUP("transport|SO2|Premature mortality", US_national_yearly!$D:$AM, 31, FALSE) / VLOOKUP("transport|SO2|Premature mortality", US_national_yearly!$D:$AM, 10, FALSE), 1)</f>
        <v>8.7489879719546519E-3</v>
      </c>
      <c r="X2" s="7">
        <f>$B2 * IFERROR(VLOOKUP("transport|SO2|Premature mortality", US_national_yearly!$D:$AM, 32, FALSE) / VLOOKUP("transport|SO2|Premature mortality", US_national_yearly!$D:$AM, 10, FALSE), 1)</f>
        <v>8.7583813380804065E-3</v>
      </c>
      <c r="Y2" s="7">
        <f>$B2 * IFERROR(VLOOKUP("transport|SO2|Premature mortality", US_national_yearly!$D:$AM, 33, FALSE) / VLOOKUP("transport|SO2|Premature mortality", US_national_yearly!$D:$AM, 10, FALSE), 1)</f>
        <v>8.7677747042061646E-3</v>
      </c>
      <c r="Z2" s="7">
        <f>$B2 * IFERROR(VLOOKUP("transport|SO2|Premature mortality", US_national_yearly!$D:$AM, 34, FALSE) / VLOOKUP("transport|SO2|Premature mortality", US_national_yearly!$D:$AM, 10, FALSE), 1)</f>
        <v>8.777168070331921E-3</v>
      </c>
      <c r="AA2" s="7">
        <f>$B2 * IFERROR(VLOOKUP("transport|SO2|Premature mortality", US_national_yearly!$D:$AM, 35, FALSE) / VLOOKUP("transport|SO2|Premature mortality", US_national_yearly!$D:$AM, 10, FALSE), 1)</f>
        <v>8.7865614364576773E-3</v>
      </c>
      <c r="AB2" s="7">
        <f>$B2 * IFERROR(VLOOKUP("transport|SO2|Premature mortality", US_national_yearly!$D:$AM, 36, FALSE) / VLOOKUP("transport|SO2|Premature mortality", US_national_yearly!$D:$AM, 10, FALSE), 1)</f>
        <v>8.7959548025834337E-3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1.8646022743200485E-5</v>
      </c>
      <c r="C3" s="7">
        <f>$B3 * IFERROR(VLOOKUP("transport|SO2|Infant mortality", US_national_yearly!$D:$AM, 11, FALSE) / VLOOKUP("transport|SO2|Infant mortality", US_national_yearly!$D:$AM, 10, FALSE), 1)</f>
        <v>1.8485850006697969E-5</v>
      </c>
      <c r="D3" s="7">
        <f>$B3 * IFERROR(VLOOKUP("transport|SO2|Infant mortality", US_national_yearly!$D:$AM, 12, FALSE) / VLOOKUP("transport|SO2|Infant mortality", US_national_yearly!$D:$AM, 10, FALSE), 1)</f>
        <v>1.8325677270195453E-5</v>
      </c>
      <c r="E3" s="7">
        <f>$B3 * IFERROR(VLOOKUP("transport|SO2|Infant mortality", US_national_yearly!$D:$AM, 13, FALSE) / VLOOKUP("transport|SO2|Infant mortality", US_national_yearly!$D:$AM, 10, FALSE), 1)</f>
        <v>1.8165504533692934E-5</v>
      </c>
      <c r="F3" s="7">
        <f>$B3 * IFERROR(VLOOKUP("transport|SO2|Infant mortality", US_national_yearly!$D:$AM, 14, FALSE) / VLOOKUP("transport|SO2|Infant mortality", US_national_yearly!$D:$AM, 10, FALSE), 1)</f>
        <v>1.8005331797190418E-5</v>
      </c>
      <c r="G3" s="7">
        <f>$B3 * IFERROR(VLOOKUP("transport|SO2|Infant mortality", US_national_yearly!$D:$AM, 15, FALSE) / VLOOKUP("transport|SO2|Infant mortality", US_national_yearly!$D:$AM, 10, FALSE), 1)</f>
        <v>1.199300115481263E-5</v>
      </c>
      <c r="H3" s="7">
        <f>$B3 * IFERROR(VLOOKUP("transport|SO2|Infant mortality", US_national_yearly!$D:$AM, 16, FALSE) / VLOOKUP("transport|SO2|Infant mortality", US_national_yearly!$D:$AM, 10, FALSE), 1)</f>
        <v>5.9806705124348497E-6</v>
      </c>
      <c r="I3" s="7">
        <f>$B3 * IFERROR(VLOOKUP("transport|SO2|Infant mortality", US_national_yearly!$D:$AM, 17, FALSE) / VLOOKUP("transport|SO2|Infant mortality", US_national_yearly!$D:$AM, 10, FALSE), 1)</f>
        <v>5.9431519603029103E-6</v>
      </c>
      <c r="J3" s="7">
        <f>$B3 * IFERROR(VLOOKUP("transport|SO2|Infant mortality", US_national_yearly!$D:$AM, 18, FALSE) / VLOOKUP("transport|SO2|Infant mortality", US_national_yearly!$D:$AM, 10, FALSE), 1)</f>
        <v>5.905633408170971E-6</v>
      </c>
      <c r="K3" s="7">
        <f>$B3 * IFERROR(VLOOKUP("transport|SO2|Infant mortality", US_national_yearly!$D:$AM, 19, FALSE) / VLOOKUP("transport|SO2|Infant mortality", US_national_yearly!$D:$AM, 10, FALSE), 1)</f>
        <v>5.8681148560390316E-6</v>
      </c>
      <c r="L3" s="7">
        <f>$B3 * IFERROR(VLOOKUP("transport|SO2|Infant mortality", US_national_yearly!$D:$AM, 20, FALSE) / VLOOKUP("transport|SO2|Infant mortality", US_national_yearly!$D:$AM, 10, FALSE), 1)</f>
        <v>5.830596303907093E-6</v>
      </c>
      <c r="M3" s="7">
        <f>$B3 * IFERROR(VLOOKUP("transport|SO2|Infant mortality", US_national_yearly!$D:$AM, 21, FALSE) / VLOOKUP("transport|SO2|Infant mortality", US_national_yearly!$D:$AM, 10, FALSE), 1)</f>
        <v>5.7930777517751537E-6</v>
      </c>
      <c r="N3" s="7">
        <f>$B3 * IFERROR(VLOOKUP("transport|SO2|Infant mortality", US_national_yearly!$D:$AM, 22, FALSE) / VLOOKUP("transport|SO2|Infant mortality", US_national_yearly!$D:$AM, 10, FALSE), 1)</f>
        <v>5.7695276374906622E-6</v>
      </c>
      <c r="O3" s="7">
        <f>$B3 * IFERROR(VLOOKUP("transport|SO2|Infant mortality", US_national_yearly!$D:$AM, 23, FALSE) / VLOOKUP("transport|SO2|Infant mortality", US_national_yearly!$D:$AM, 10, FALSE), 1)</f>
        <v>5.7459775232061716E-6</v>
      </c>
      <c r="P3" s="7">
        <f>$B3 * IFERROR(VLOOKUP("transport|SO2|Infant mortality", US_national_yearly!$D:$AM, 24, FALSE) / VLOOKUP("transport|SO2|Infant mortality", US_national_yearly!$D:$AM, 10, FALSE), 1)</f>
        <v>5.7224274089216794E-6</v>
      </c>
      <c r="Q3" s="7">
        <f>$B3 * IFERROR(VLOOKUP("transport|SO2|Infant mortality", US_national_yearly!$D:$AM, 25, FALSE) / VLOOKUP("transport|SO2|Infant mortality", US_national_yearly!$D:$AM, 10, FALSE), 1)</f>
        <v>5.6988772946371879E-6</v>
      </c>
      <c r="R3" s="7">
        <f>$B3 * IFERROR(VLOOKUP("transport|SO2|Infant mortality", US_national_yearly!$D:$AM, 26, FALSE) / VLOOKUP("transport|SO2|Infant mortality", US_national_yearly!$D:$AM, 10, FALSE), 1)</f>
        <v>5.6753271803526957E-6</v>
      </c>
      <c r="S3" s="7">
        <f>$B3 * IFERROR(VLOOKUP("transport|SO2|Infant mortality", US_national_yearly!$D:$AM, 27, FALSE) / VLOOKUP("transport|SO2|Infant mortality", US_national_yearly!$D:$AM, 10, FALSE), 1)</f>
        <v>5.645758577164843E-6</v>
      </c>
      <c r="T3" s="7">
        <f>$B3 * IFERROR(VLOOKUP("transport|SO2|Infant mortality", US_national_yearly!$D:$AM, 28, FALSE) / VLOOKUP("transport|SO2|Infant mortality", US_national_yearly!$D:$AM, 10, FALSE), 1)</f>
        <v>5.6161899739769912E-6</v>
      </c>
      <c r="U3" s="7">
        <f>$B3 * IFERROR(VLOOKUP("transport|SO2|Infant mortality", US_national_yearly!$D:$AM, 29, FALSE) / VLOOKUP("transport|SO2|Infant mortality", US_national_yearly!$D:$AM, 10, FALSE), 1)</f>
        <v>5.5866213707891368E-6</v>
      </c>
      <c r="V3" s="7">
        <f>$B3 * IFERROR(VLOOKUP("transport|SO2|Infant mortality", US_national_yearly!$D:$AM, 30, FALSE) / VLOOKUP("transport|SO2|Infant mortality", US_national_yearly!$D:$AM, 10, FALSE), 1)</f>
        <v>5.5570527676012858E-6</v>
      </c>
      <c r="W3" s="7">
        <f>$B3 * IFERROR(VLOOKUP("transport|SO2|Infant mortality", US_national_yearly!$D:$AM, 31, FALSE) / VLOOKUP("transport|SO2|Infant mortality", US_national_yearly!$D:$AM, 10, FALSE), 1)</f>
        <v>5.5274841644134323E-6</v>
      </c>
      <c r="X3" s="7">
        <f>$B3 * IFERROR(VLOOKUP("transport|SO2|Infant mortality", US_national_yearly!$D:$AM, 32, FALSE) / VLOOKUP("transport|SO2|Infant mortality", US_national_yearly!$D:$AM, 10, FALSE), 1)</f>
        <v>5.4951565541271041E-6</v>
      </c>
      <c r="Y3" s="7">
        <f>$B3 * IFERROR(VLOOKUP("transport|SO2|Infant mortality", US_national_yearly!$D:$AM, 33, FALSE) / VLOOKUP("transport|SO2|Infant mortality", US_national_yearly!$D:$AM, 10, FALSE), 1)</f>
        <v>5.4628289438407735E-6</v>
      </c>
      <c r="Z3" s="7">
        <f>$B3 * IFERROR(VLOOKUP("transport|SO2|Infant mortality", US_national_yearly!$D:$AM, 34, FALSE) / VLOOKUP("transport|SO2|Infant mortality", US_national_yearly!$D:$AM, 10, FALSE), 1)</f>
        <v>5.4305013335544453E-6</v>
      </c>
      <c r="AA3" s="7">
        <f>$B3 * IFERROR(VLOOKUP("transport|SO2|Infant mortality", US_national_yearly!$D:$AM, 35, FALSE) / VLOOKUP("transport|SO2|Infant mortality", US_national_yearly!$D:$AM, 10, FALSE), 1)</f>
        <v>5.3981737232681146E-6</v>
      </c>
      <c r="AB3" s="7">
        <f>$B3 * IFERROR(VLOOKUP("transport|SO2|Infant mortality", US_national_yearly!$D:$AM, 36, FALSE) / VLOOKUP("transport|SO2|Infant mortality", US_national_yearly!$D:$AM, 10, FALSE), 1)</f>
        <v>5.3658461129817856E-6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2.148662847493327E-2</v>
      </c>
      <c r="C6" s="7">
        <f>$B6 * IFERROR(VLOOKUP("transport|SO2|Asthma symptoms cough", US_national_yearly!$D:$AM, 11, FALSE) / VLOOKUP("transport|SO2|Asthma symptoms cough", US_national_yearly!$D:$AM, 10, FALSE), 1)</f>
        <v>2.148662847493327E-2</v>
      </c>
      <c r="D6" s="7">
        <f>$B6 * IFERROR(VLOOKUP("transport|SO2|Asthma symptoms cough", US_national_yearly!$D:$AM, 12, FALSE) / VLOOKUP("transport|SO2|Asthma symptoms cough", US_national_yearly!$D:$AM, 10, FALSE), 1)</f>
        <v>2.148662847493327E-2</v>
      </c>
      <c r="E6" s="7">
        <f>$B6 * IFERROR(VLOOKUP("transport|SO2|Asthma symptoms cough", US_national_yearly!$D:$AM, 13, FALSE) / VLOOKUP("transport|SO2|Asthma symptoms cough", US_national_yearly!$D:$AM, 10, FALSE), 1)</f>
        <v>2.148662847493327E-2</v>
      </c>
      <c r="F6" s="7">
        <f>$B6 * IFERROR(VLOOKUP("transport|SO2|Asthma symptoms cough", US_national_yearly!$D:$AM, 14, FALSE) / VLOOKUP("transport|SO2|Asthma symptoms cough", US_national_yearly!$D:$AM, 10, FALSE), 1)</f>
        <v>2.148662847493327E-2</v>
      </c>
      <c r="G6" s="7">
        <f>$B6 * IFERROR(VLOOKUP("transport|SO2|Asthma symptoms cough", US_national_yearly!$D:$AM, 15, FALSE) / VLOOKUP("transport|SO2|Asthma symptoms cough", US_national_yearly!$D:$AM, 10, FALSE), 1)</f>
        <v>2.148662847493327E-2</v>
      </c>
      <c r="H6" s="7">
        <f>$B6 * IFERROR(VLOOKUP("transport|SO2|Asthma symptoms cough", US_national_yearly!$D:$AM, 16, FALSE) / VLOOKUP("transport|SO2|Asthma symptoms cough", US_national_yearly!$D:$AM, 10, FALSE), 1)</f>
        <v>2.148662847493327E-2</v>
      </c>
      <c r="I6" s="7">
        <f>$B6 * IFERROR(VLOOKUP("transport|SO2|Asthma symptoms cough", US_national_yearly!$D:$AM, 17, FALSE) / VLOOKUP("transport|SO2|Asthma symptoms cough", US_national_yearly!$D:$AM, 10, FALSE), 1)</f>
        <v>2.148662847493327E-2</v>
      </c>
      <c r="J6" s="7">
        <f>$B6 * IFERROR(VLOOKUP("transport|SO2|Asthma symptoms cough", US_national_yearly!$D:$AM, 18, FALSE) / VLOOKUP("transport|SO2|Asthma symptoms cough", US_national_yearly!$D:$AM, 10, FALSE), 1)</f>
        <v>2.148662847493327E-2</v>
      </c>
      <c r="K6" s="7">
        <f>$B6 * IFERROR(VLOOKUP("transport|SO2|Asthma symptoms cough", US_national_yearly!$D:$AM, 19, FALSE) / VLOOKUP("transport|SO2|Asthma symptoms cough", US_national_yearly!$D:$AM, 10, FALSE), 1)</f>
        <v>2.148662847493327E-2</v>
      </c>
      <c r="L6" s="7">
        <f>$B6 * IFERROR(VLOOKUP("transport|SO2|Asthma symptoms cough", US_national_yearly!$D:$AM, 20, FALSE) / VLOOKUP("transport|SO2|Asthma symptoms cough", US_national_yearly!$D:$AM, 10, FALSE), 1)</f>
        <v>2.148662847493327E-2</v>
      </c>
      <c r="M6" s="7">
        <f>$B6 * IFERROR(VLOOKUP("transport|SO2|Asthma symptoms cough", US_national_yearly!$D:$AM, 21, FALSE) / VLOOKUP("transport|SO2|Asthma symptoms cough", US_national_yearly!$D:$AM, 10, FALSE), 1)</f>
        <v>2.148662847493327E-2</v>
      </c>
      <c r="N6" s="7">
        <f>$B6 * IFERROR(VLOOKUP("transport|SO2|Asthma symptoms cough", US_national_yearly!$D:$AM, 22, FALSE) / VLOOKUP("transport|SO2|Asthma symptoms cough", US_national_yearly!$D:$AM, 10, FALSE), 1)</f>
        <v>2.148662847493327E-2</v>
      </c>
      <c r="O6" s="7">
        <f>$B6 * IFERROR(VLOOKUP("transport|SO2|Asthma symptoms cough", US_national_yearly!$D:$AM, 23, FALSE) / VLOOKUP("transport|SO2|Asthma symptoms cough", US_national_yearly!$D:$AM, 10, FALSE), 1)</f>
        <v>2.148662847493327E-2</v>
      </c>
      <c r="P6" s="7">
        <f>$B6 * IFERROR(VLOOKUP("transport|SO2|Asthma symptoms cough", US_national_yearly!$D:$AM, 24, FALSE) / VLOOKUP("transport|SO2|Asthma symptoms cough", US_national_yearly!$D:$AM, 10, FALSE), 1)</f>
        <v>2.148662847493327E-2</v>
      </c>
      <c r="Q6" s="7">
        <f>$B6 * IFERROR(VLOOKUP("transport|SO2|Asthma symptoms cough", US_national_yearly!$D:$AM, 25, FALSE) / VLOOKUP("transport|SO2|Asthma symptoms cough", US_national_yearly!$D:$AM, 10, FALSE), 1)</f>
        <v>2.148662847493327E-2</v>
      </c>
      <c r="R6" s="7">
        <f>$B6 * IFERROR(VLOOKUP("transport|SO2|Asthma symptoms cough", US_national_yearly!$D:$AM, 26, FALSE) / VLOOKUP("transport|SO2|Asthma symptoms cough", US_national_yearly!$D:$AM, 10, FALSE), 1)</f>
        <v>2.148662847493327E-2</v>
      </c>
      <c r="S6" s="7">
        <f>$B6 * IFERROR(VLOOKUP("transport|SO2|Asthma symptoms cough", US_national_yearly!$D:$AM, 27, FALSE) / VLOOKUP("transport|SO2|Asthma symptoms cough", US_national_yearly!$D:$AM, 10, FALSE), 1)</f>
        <v>2.148662847493327E-2</v>
      </c>
      <c r="T6" s="7">
        <f>$B6 * IFERROR(VLOOKUP("transport|SO2|Asthma symptoms cough", US_national_yearly!$D:$AM, 28, FALSE) / VLOOKUP("transport|SO2|Asthma symptoms cough", US_national_yearly!$D:$AM, 10, FALSE), 1)</f>
        <v>2.148662847493327E-2</v>
      </c>
      <c r="U6" s="7">
        <f>$B6 * IFERROR(VLOOKUP("transport|SO2|Asthma symptoms cough", US_national_yearly!$D:$AM, 29, FALSE) / VLOOKUP("transport|SO2|Asthma symptoms cough", US_national_yearly!$D:$AM, 10, FALSE), 1)</f>
        <v>2.148662847493327E-2</v>
      </c>
      <c r="V6" s="7">
        <f>$B6 * IFERROR(VLOOKUP("transport|SO2|Asthma symptoms cough", US_national_yearly!$D:$AM, 30, FALSE) / VLOOKUP("transport|SO2|Asthma symptoms cough", US_national_yearly!$D:$AM, 10, FALSE), 1)</f>
        <v>2.148662847493327E-2</v>
      </c>
      <c r="W6" s="7">
        <f>$B6 * IFERROR(VLOOKUP("transport|SO2|Asthma symptoms cough", US_national_yearly!$D:$AM, 31, FALSE) / VLOOKUP("transport|SO2|Asthma symptoms cough", US_national_yearly!$D:$AM, 10, FALSE), 1)</f>
        <v>2.148662847493327E-2</v>
      </c>
      <c r="X6" s="7">
        <f>$B6 * IFERROR(VLOOKUP("transport|SO2|Asthma symptoms cough", US_national_yearly!$D:$AM, 32, FALSE) / VLOOKUP("transport|SO2|Asthma symptoms cough", US_national_yearly!$D:$AM, 10, FALSE), 1)</f>
        <v>2.148662847493327E-2</v>
      </c>
      <c r="Y6" s="7">
        <f>$B6 * IFERROR(VLOOKUP("transport|SO2|Asthma symptoms cough", US_national_yearly!$D:$AM, 33, FALSE) / VLOOKUP("transport|SO2|Asthma symptoms cough", US_national_yearly!$D:$AM, 10, FALSE), 1)</f>
        <v>2.148662847493327E-2</v>
      </c>
      <c r="Z6" s="7">
        <f>$B6 * IFERROR(VLOOKUP("transport|SO2|Asthma symptoms cough", US_national_yearly!$D:$AM, 34, FALSE) / VLOOKUP("transport|SO2|Asthma symptoms cough", US_national_yearly!$D:$AM, 10, FALSE), 1)</f>
        <v>2.148662847493327E-2</v>
      </c>
      <c r="AA6" s="7">
        <f>$B6 * IFERROR(VLOOKUP("transport|SO2|Asthma symptoms cough", US_national_yearly!$D:$AM, 35, FALSE) / VLOOKUP("transport|SO2|Asthma symptoms cough", US_national_yearly!$D:$AM, 10, FALSE), 1)</f>
        <v>2.148662847493327E-2</v>
      </c>
      <c r="AB6" s="7">
        <f>$B6 * IFERROR(VLOOKUP("transport|SO2|Asthma symptoms cough", US_national_yearly!$D:$AM, 36, FALSE) / VLOOKUP("transport|SO2|Asthma symptoms cough", US_national_yearly!$D:$AM, 10, FALSE), 1)</f>
        <v>2.148662847493327E-2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2.893480633991594E-2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2.893480633991594E-2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2.893480633991594E-2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2.893480633991594E-2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2.893480633991594E-2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2.893480633991594E-2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2.893480633991594E-2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2.893480633991594E-2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2.893480633991594E-2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2.893480633991594E-2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2.893480633991594E-2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2.893480633991594E-2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2.893480633991594E-2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2.893480633991594E-2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2.893480633991594E-2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2.893480633991594E-2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2.893480633991594E-2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2.893480633991594E-2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2.893480633991594E-2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2.893480633991594E-2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2.893480633991594E-2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2.893480633991594E-2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2.893480633991594E-2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2.893480633991594E-2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2.893480633991594E-2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2.893480633991594E-2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2.893480633991594E-2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4.4207682595099468E-2</v>
      </c>
      <c r="C8" s="7">
        <f>$B8 * IFERROR(VLOOKUP("transport|SO2|Asthma symptoms wheeze", US_national_yearly!$D:$AM, 11, FALSE) / VLOOKUP("transport|SO2|Asthma symptoms wheeze", US_national_yearly!$D:$AM, 10, FALSE), 1)</f>
        <v>4.4207682595099468E-2</v>
      </c>
      <c r="D8" s="7">
        <f>$B8 * IFERROR(VLOOKUP("transport|SO2|Asthma symptoms wheeze", US_national_yearly!$D:$AM, 12, FALSE) / VLOOKUP("transport|SO2|Asthma symptoms wheeze", US_national_yearly!$D:$AM, 10, FALSE), 1)</f>
        <v>4.4207682595099468E-2</v>
      </c>
      <c r="E8" s="7">
        <f>$B8 * IFERROR(VLOOKUP("transport|SO2|Asthma symptoms wheeze", US_national_yearly!$D:$AM, 13, FALSE) / VLOOKUP("transport|SO2|Asthma symptoms wheeze", US_national_yearly!$D:$AM, 10, FALSE), 1)</f>
        <v>4.4207682595099468E-2</v>
      </c>
      <c r="F8" s="7">
        <f>$B8 * IFERROR(VLOOKUP("transport|SO2|Asthma symptoms wheeze", US_national_yearly!$D:$AM, 14, FALSE) / VLOOKUP("transport|SO2|Asthma symptoms wheeze", US_national_yearly!$D:$AM, 10, FALSE), 1)</f>
        <v>4.4207682595099468E-2</v>
      </c>
      <c r="G8" s="7">
        <f>$B8 * IFERROR(VLOOKUP("transport|SO2|Asthma symptoms wheeze", US_national_yearly!$D:$AM, 15, FALSE) / VLOOKUP("transport|SO2|Asthma symptoms wheeze", US_national_yearly!$D:$AM, 10, FALSE), 1)</f>
        <v>4.4207682595099468E-2</v>
      </c>
      <c r="H8" s="7">
        <f>$B8 * IFERROR(VLOOKUP("transport|SO2|Asthma symptoms wheeze", US_national_yearly!$D:$AM, 16, FALSE) / VLOOKUP("transport|SO2|Asthma symptoms wheeze", US_national_yearly!$D:$AM, 10, FALSE), 1)</f>
        <v>4.4207682595099468E-2</v>
      </c>
      <c r="I8" s="7">
        <f>$B8 * IFERROR(VLOOKUP("transport|SO2|Asthma symptoms wheeze", US_national_yearly!$D:$AM, 17, FALSE) / VLOOKUP("transport|SO2|Asthma symptoms wheeze", US_national_yearly!$D:$AM, 10, FALSE), 1)</f>
        <v>4.4207682595099468E-2</v>
      </c>
      <c r="J8" s="7">
        <f>$B8 * IFERROR(VLOOKUP("transport|SO2|Asthma symptoms wheeze", US_national_yearly!$D:$AM, 18, FALSE) / VLOOKUP("transport|SO2|Asthma symptoms wheeze", US_national_yearly!$D:$AM, 10, FALSE), 1)</f>
        <v>4.4207682595099468E-2</v>
      </c>
      <c r="K8" s="7">
        <f>$B8 * IFERROR(VLOOKUP("transport|SO2|Asthma symptoms wheeze", US_national_yearly!$D:$AM, 19, FALSE) / VLOOKUP("transport|SO2|Asthma symptoms wheeze", US_national_yearly!$D:$AM, 10, FALSE), 1)</f>
        <v>4.4207682595099468E-2</v>
      </c>
      <c r="L8" s="7">
        <f>$B8 * IFERROR(VLOOKUP("transport|SO2|Asthma symptoms wheeze", US_national_yearly!$D:$AM, 20, FALSE) / VLOOKUP("transport|SO2|Asthma symptoms wheeze", US_national_yearly!$D:$AM, 10, FALSE), 1)</f>
        <v>4.4207682595099468E-2</v>
      </c>
      <c r="M8" s="7">
        <f>$B8 * IFERROR(VLOOKUP("transport|SO2|Asthma symptoms wheeze", US_national_yearly!$D:$AM, 21, FALSE) / VLOOKUP("transport|SO2|Asthma symptoms wheeze", US_national_yearly!$D:$AM, 10, FALSE), 1)</f>
        <v>4.4207682595099468E-2</v>
      </c>
      <c r="N8" s="7">
        <f>$B8 * IFERROR(VLOOKUP("transport|SO2|Asthma symptoms wheeze", US_national_yearly!$D:$AM, 22, FALSE) / VLOOKUP("transport|SO2|Asthma symptoms wheeze", US_national_yearly!$D:$AM, 10, FALSE), 1)</f>
        <v>4.4207682595099468E-2</v>
      </c>
      <c r="O8" s="7">
        <f>$B8 * IFERROR(VLOOKUP("transport|SO2|Asthma symptoms wheeze", US_national_yearly!$D:$AM, 23, FALSE) / VLOOKUP("transport|SO2|Asthma symptoms wheeze", US_national_yearly!$D:$AM, 10, FALSE), 1)</f>
        <v>4.4207682595099468E-2</v>
      </c>
      <c r="P8" s="7">
        <f>$B8 * IFERROR(VLOOKUP("transport|SO2|Asthma symptoms wheeze", US_national_yearly!$D:$AM, 24, FALSE) / VLOOKUP("transport|SO2|Asthma symptoms wheeze", US_national_yearly!$D:$AM, 10, FALSE), 1)</f>
        <v>4.4207682595099468E-2</v>
      </c>
      <c r="Q8" s="7">
        <f>$B8 * IFERROR(VLOOKUP("transport|SO2|Asthma symptoms wheeze", US_national_yearly!$D:$AM, 25, FALSE) / VLOOKUP("transport|SO2|Asthma symptoms wheeze", US_national_yearly!$D:$AM, 10, FALSE), 1)</f>
        <v>4.4207682595099468E-2</v>
      </c>
      <c r="R8" s="7">
        <f>$B8 * IFERROR(VLOOKUP("transport|SO2|Asthma symptoms wheeze", US_national_yearly!$D:$AM, 26, FALSE) / VLOOKUP("transport|SO2|Asthma symptoms wheeze", US_national_yearly!$D:$AM, 10, FALSE), 1)</f>
        <v>4.4207682595099468E-2</v>
      </c>
      <c r="S8" s="7">
        <f>$B8 * IFERROR(VLOOKUP("transport|SO2|Asthma symptoms wheeze", US_national_yearly!$D:$AM, 27, FALSE) / VLOOKUP("transport|SO2|Asthma symptoms wheeze", US_national_yearly!$D:$AM, 10, FALSE), 1)</f>
        <v>4.4207682595099468E-2</v>
      </c>
      <c r="T8" s="7">
        <f>$B8 * IFERROR(VLOOKUP("transport|SO2|Asthma symptoms wheeze", US_national_yearly!$D:$AM, 28, FALSE) / VLOOKUP("transport|SO2|Asthma symptoms wheeze", US_national_yearly!$D:$AM, 10, FALSE), 1)</f>
        <v>4.4207682595099468E-2</v>
      </c>
      <c r="U8" s="7">
        <f>$B8 * IFERROR(VLOOKUP("transport|SO2|Asthma symptoms wheeze", US_national_yearly!$D:$AM, 29, FALSE) / VLOOKUP("transport|SO2|Asthma symptoms wheeze", US_national_yearly!$D:$AM, 10, FALSE), 1)</f>
        <v>4.4207682595099468E-2</v>
      </c>
      <c r="V8" s="7">
        <f>$B8 * IFERROR(VLOOKUP("transport|SO2|Asthma symptoms wheeze", US_national_yearly!$D:$AM, 30, FALSE) / VLOOKUP("transport|SO2|Asthma symptoms wheeze", US_national_yearly!$D:$AM, 10, FALSE), 1)</f>
        <v>4.4207682595099468E-2</v>
      </c>
      <c r="W8" s="7">
        <f>$B8 * IFERROR(VLOOKUP("transport|SO2|Asthma symptoms wheeze", US_national_yearly!$D:$AM, 31, FALSE) / VLOOKUP("transport|SO2|Asthma symptoms wheeze", US_national_yearly!$D:$AM, 10, FALSE), 1)</f>
        <v>4.4207682595099468E-2</v>
      </c>
      <c r="X8" s="7">
        <f>$B8 * IFERROR(VLOOKUP("transport|SO2|Asthma symptoms wheeze", US_national_yearly!$D:$AM, 32, FALSE) / VLOOKUP("transport|SO2|Asthma symptoms wheeze", US_national_yearly!$D:$AM, 10, FALSE), 1)</f>
        <v>4.4207682595099468E-2</v>
      </c>
      <c r="Y8" s="7">
        <f>$B8 * IFERROR(VLOOKUP("transport|SO2|Asthma symptoms wheeze", US_national_yearly!$D:$AM, 33, FALSE) / VLOOKUP("transport|SO2|Asthma symptoms wheeze", US_national_yearly!$D:$AM, 10, FALSE), 1)</f>
        <v>4.4207682595099468E-2</v>
      </c>
      <c r="Z8" s="7">
        <f>$B8 * IFERROR(VLOOKUP("transport|SO2|Asthma symptoms wheeze", US_national_yearly!$D:$AM, 34, FALSE) / VLOOKUP("transport|SO2|Asthma symptoms wheeze", US_national_yearly!$D:$AM, 10, FALSE), 1)</f>
        <v>4.4207682595099468E-2</v>
      </c>
      <c r="AA8" s="7">
        <f>$B8 * IFERROR(VLOOKUP("transport|SO2|Asthma symptoms wheeze", US_national_yearly!$D:$AM, 35, FALSE) / VLOOKUP("transport|SO2|Asthma symptoms wheeze", US_national_yearly!$D:$AM, 10, FALSE), 1)</f>
        <v>4.4207682595099468E-2</v>
      </c>
      <c r="AB8" s="7">
        <f>$B8 * IFERROR(VLOOKUP("transport|SO2|Asthma symptoms wheeze", US_national_yearly!$D:$AM, 36, FALSE) / VLOOKUP("transport|SO2|Asthma symptoms wheeze", US_national_yearly!$D:$AM, 10, FALSE), 1)</f>
        <v>4.4207682595099468E-2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3.8017316423466789E-4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3.8241544444999112E-4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3.8465772466531441E-4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3.8690000488063764E-4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3.8914228509596093E-4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3.9158674873829763E-4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3.9403121238063438E-4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3.9644174457991648E-4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3.9885227677919862E-4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4.0126280897848066E-4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4.0367334117776286E-4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4.0608387337704485E-4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4.0784348747277218E-4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4.0960310156849946E-4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4.1136271566422669E-4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4.1312232975995408E-4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4.148819438556813E-4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4.1656048144066106E-4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4.1823901902564075E-4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4.1991755661062045E-4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4.2159609419560021E-4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4.2327463178057996E-4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4.2486728836560445E-4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4.2645994495062894E-4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4.2805260153565337E-4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4.2964525812067786E-4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4.3123791470570241E-4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2.9121676865005702E-3</v>
      </c>
      <c r="C13" s="7">
        <f>$B13 * IFERROR(VLOOKUP("transport|SO2|Non-fatal heart attacks", US_national_yearly!$D:$AM, 11, FALSE) / VLOOKUP("transport|SO2|Non-fatal heart attacks", US_national_yearly!$D:$AM, 10, FALSE), 1)</f>
        <v>2.997658352203213E-3</v>
      </c>
      <c r="D13" s="7">
        <f>$B13 * IFERROR(VLOOKUP("transport|SO2|Non-fatal heart attacks", US_national_yearly!$D:$AM, 12, FALSE) / VLOOKUP("transport|SO2|Non-fatal heart attacks", US_national_yearly!$D:$AM, 10, FALSE), 1)</f>
        <v>3.0831490179058559E-3</v>
      </c>
      <c r="E13" s="7">
        <f>$B13 * IFERROR(VLOOKUP("transport|SO2|Non-fatal heart attacks", US_national_yearly!$D:$AM, 13, FALSE) / VLOOKUP("transport|SO2|Non-fatal heart attacks", US_national_yearly!$D:$AM, 10, FALSE), 1)</f>
        <v>3.1686396836084988E-3</v>
      </c>
      <c r="F13" s="7">
        <f>$B13 * IFERROR(VLOOKUP("transport|SO2|Non-fatal heart attacks", US_national_yearly!$D:$AM, 14, FALSE) / VLOOKUP("transport|SO2|Non-fatal heart attacks", US_national_yearly!$D:$AM, 10, FALSE), 1)</f>
        <v>3.2541303493111413E-3</v>
      </c>
      <c r="G13" s="7">
        <f>$B13 * IFERROR(VLOOKUP("transport|SO2|Non-fatal heart attacks", US_national_yearly!$D:$AM, 15, FALSE) / VLOOKUP("transport|SO2|Non-fatal heart attacks", US_national_yearly!$D:$AM, 10, FALSE), 1)</f>
        <v>3.334755976812404E-3</v>
      </c>
      <c r="H13" s="7">
        <f>$B13 * IFERROR(VLOOKUP("transport|SO2|Non-fatal heart attacks", US_national_yearly!$D:$AM, 16, FALSE) / VLOOKUP("transport|SO2|Non-fatal heart attacks", US_national_yearly!$D:$AM, 10, FALSE), 1)</f>
        <v>3.4153816043136671E-3</v>
      </c>
      <c r="I13" s="7">
        <f>$B13 * IFERROR(VLOOKUP("transport|SO2|Non-fatal heart attacks", US_national_yearly!$D:$AM, 17, FALSE) / VLOOKUP("transport|SO2|Non-fatal heart attacks", US_national_yearly!$D:$AM, 10, FALSE), 1)</f>
        <v>3.4802599594869052E-3</v>
      </c>
      <c r="J13" s="7">
        <f>$B13 * IFERROR(VLOOKUP("transport|SO2|Non-fatal heart attacks", US_national_yearly!$D:$AM, 18, FALSE) / VLOOKUP("transport|SO2|Non-fatal heart attacks", US_national_yearly!$D:$AM, 10, FALSE), 1)</f>
        <v>3.5451383146601436E-3</v>
      </c>
      <c r="K13" s="7">
        <f>$B13 * IFERROR(VLOOKUP("transport|SO2|Non-fatal heart attacks", US_national_yearly!$D:$AM, 19, FALSE) / VLOOKUP("transport|SO2|Non-fatal heart attacks", US_national_yearly!$D:$AM, 10, FALSE), 1)</f>
        <v>3.6100166698333812E-3</v>
      </c>
      <c r="L13" s="7">
        <f>$B13 * IFERROR(VLOOKUP("transport|SO2|Non-fatal heart attacks", US_national_yearly!$D:$AM, 20, FALSE) / VLOOKUP("transport|SO2|Non-fatal heart attacks", US_national_yearly!$D:$AM, 10, FALSE), 1)</f>
        <v>3.6748950250066205E-3</v>
      </c>
      <c r="M13" s="7">
        <f>$B13 * IFERROR(VLOOKUP("transport|SO2|Non-fatal heart attacks", US_national_yearly!$D:$AM, 21, FALSE) / VLOOKUP("transport|SO2|Non-fatal heart attacks", US_national_yearly!$D:$AM, 10, FALSE), 1)</f>
        <v>3.739773380179859E-3</v>
      </c>
      <c r="N13" s="7">
        <f>$B13 * IFERROR(VLOOKUP("transport|SO2|Non-fatal heart attacks", US_national_yearly!$D:$AM, 22, FALSE) / VLOOKUP("transport|SO2|Non-fatal heart attacks", US_national_yearly!$D:$AM, 10, FALSE), 1)</f>
        <v>3.7818996800283678E-3</v>
      </c>
      <c r="O13" s="7">
        <f>$B13 * IFERROR(VLOOKUP("transport|SO2|Non-fatal heart attacks", US_national_yearly!$D:$AM, 23, FALSE) / VLOOKUP("transport|SO2|Non-fatal heart attacks", US_national_yearly!$D:$AM, 10, FALSE), 1)</f>
        <v>3.824025979876878E-3</v>
      </c>
      <c r="P13" s="7">
        <f>$B13 * IFERROR(VLOOKUP("transport|SO2|Non-fatal heart attacks", US_national_yearly!$D:$AM, 24, FALSE) / VLOOKUP("transport|SO2|Non-fatal heart attacks", US_national_yearly!$D:$AM, 10, FALSE), 1)</f>
        <v>3.8661522797253881E-3</v>
      </c>
      <c r="Q13" s="7">
        <f>$B13 * IFERROR(VLOOKUP("transport|SO2|Non-fatal heart attacks", US_national_yearly!$D:$AM, 25, FALSE) / VLOOKUP("transport|SO2|Non-fatal heart attacks", US_national_yearly!$D:$AM, 10, FALSE), 1)</f>
        <v>3.908278579573897E-3</v>
      </c>
      <c r="R13" s="7">
        <f>$B13 * IFERROR(VLOOKUP("transport|SO2|Non-fatal heart attacks", US_national_yearly!$D:$AM, 26, FALSE) / VLOOKUP("transport|SO2|Non-fatal heart attacks", US_national_yearly!$D:$AM, 10, FALSE), 1)</f>
        <v>3.9504048794224067E-3</v>
      </c>
      <c r="S13" s="7">
        <f>$B13 * IFERROR(VLOOKUP("transport|SO2|Non-fatal heart attacks", US_national_yearly!$D:$AM, 27, FALSE) / VLOOKUP("transport|SO2|Non-fatal heart attacks", US_national_yearly!$D:$AM, 10, FALSE), 1)</f>
        <v>3.9723987836217641E-3</v>
      </c>
      <c r="T13" s="7">
        <f>$B13 * IFERROR(VLOOKUP("transport|SO2|Non-fatal heart attacks", US_national_yearly!$D:$AM, 28, FALSE) / VLOOKUP("transport|SO2|Non-fatal heart attacks", US_national_yearly!$D:$AM, 10, FALSE), 1)</f>
        <v>3.9943926878211206E-3</v>
      </c>
      <c r="U13" s="7">
        <f>$B13 * IFERROR(VLOOKUP("transport|SO2|Non-fatal heart attacks", US_national_yearly!$D:$AM, 29, FALSE) / VLOOKUP("transport|SO2|Non-fatal heart attacks", US_national_yearly!$D:$AM, 10, FALSE), 1)</f>
        <v>4.0163865920204772E-3</v>
      </c>
      <c r="V13" s="7">
        <f>$B13 * IFERROR(VLOOKUP("transport|SO2|Non-fatal heart attacks", US_national_yearly!$D:$AM, 30, FALSE) / VLOOKUP("transport|SO2|Non-fatal heart attacks", US_national_yearly!$D:$AM, 10, FALSE), 1)</f>
        <v>4.0383804962198337E-3</v>
      </c>
      <c r="W13" s="7">
        <f>$B13 * IFERROR(VLOOKUP("transport|SO2|Non-fatal heart attacks", US_national_yearly!$D:$AM, 31, FALSE) / VLOOKUP("transport|SO2|Non-fatal heart attacks", US_national_yearly!$D:$AM, 10, FALSE), 1)</f>
        <v>4.0603744004191911E-3</v>
      </c>
      <c r="X13" s="7">
        <f>$B13 * IFERROR(VLOOKUP("transport|SO2|Non-fatal heart attacks", US_national_yearly!$D:$AM, 32, FALSE) / VLOOKUP("transport|SO2|Non-fatal heart attacks", US_national_yearly!$D:$AM, 10, FALSE), 1)</f>
        <v>4.0769778741982033E-3</v>
      </c>
      <c r="Y13" s="7">
        <f>$B13 * IFERROR(VLOOKUP("transport|SO2|Non-fatal heart attacks", US_national_yearly!$D:$AM, 33, FALSE) / VLOOKUP("transport|SO2|Non-fatal heart attacks", US_national_yearly!$D:$AM, 10, FALSE), 1)</f>
        <v>4.0935813479772145E-3</v>
      </c>
      <c r="Z13" s="7">
        <f>$B13 * IFERROR(VLOOKUP("transport|SO2|Non-fatal heart attacks", US_national_yearly!$D:$AM, 34, FALSE) / VLOOKUP("transport|SO2|Non-fatal heart attacks", US_national_yearly!$D:$AM, 10, FALSE), 1)</f>
        <v>4.1101848217562258E-3</v>
      </c>
      <c r="AA13" s="7">
        <f>$B13 * IFERROR(VLOOKUP("transport|SO2|Non-fatal heart attacks", US_national_yearly!$D:$AM, 35, FALSE) / VLOOKUP("transport|SO2|Non-fatal heart attacks", US_national_yearly!$D:$AM, 10, FALSE), 1)</f>
        <v>4.1267882955352371E-3</v>
      </c>
      <c r="AB13" s="7">
        <f>$B13 * IFERROR(VLOOKUP("transport|SO2|Non-fatal heart attacks", US_national_yearly!$D:$AM, 36, FALSE) / VLOOKUP("transport|SO2|Non-fatal heart attacks", US_national_yearly!$D:$AM, 10, FALSE), 1)</f>
        <v>4.1433917693142492E-3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2.7309322885423883</v>
      </c>
      <c r="C14" s="7">
        <f>$B14 * IFERROR(VLOOKUP("transport|SO2|Minor restricted activity days", US_national_yearly!$D:$AM, 11, FALSE) / VLOOKUP("transport|SO2|Minor restricted activity days", US_national_yearly!$D:$AM, 10, FALSE), 1)</f>
        <v>2.737816058916132</v>
      </c>
      <c r="D14" s="7">
        <f>$B14 * IFERROR(VLOOKUP("transport|SO2|Minor restricted activity days", US_national_yearly!$D:$AM, 12, FALSE) / VLOOKUP("transport|SO2|Minor restricted activity days", US_national_yearly!$D:$AM, 10, FALSE), 1)</f>
        <v>2.7446998292898752</v>
      </c>
      <c r="E14" s="7">
        <f>$B14 * IFERROR(VLOOKUP("transport|SO2|Minor restricted activity days", US_national_yearly!$D:$AM, 13, FALSE) / VLOOKUP("transport|SO2|Minor restricted activity days", US_national_yearly!$D:$AM, 10, FALSE), 1)</f>
        <v>2.7515835996636193</v>
      </c>
      <c r="F14" s="7">
        <f>$B14 * IFERROR(VLOOKUP("transport|SO2|Minor restricted activity days", US_national_yearly!$D:$AM, 14, FALSE) / VLOOKUP("transport|SO2|Minor restricted activity days", US_national_yearly!$D:$AM, 10, FALSE), 1)</f>
        <v>2.7584673700373625</v>
      </c>
      <c r="G14" s="7">
        <f>$B14 * IFERROR(VLOOKUP("transport|SO2|Minor restricted activity days", US_national_yearly!$D:$AM, 15, FALSE) / VLOOKUP("transport|SO2|Minor restricted activity days", US_national_yearly!$D:$AM, 10, FALSE), 1)</f>
        <v>2.7685996037621354</v>
      </c>
      <c r="H14" s="7">
        <f>$B14 * IFERROR(VLOOKUP("transport|SO2|Minor restricted activity days", US_national_yearly!$D:$AM, 16, FALSE) / VLOOKUP("transport|SO2|Minor restricted activity days", US_national_yearly!$D:$AM, 10, FALSE), 1)</f>
        <v>2.7787318374869079</v>
      </c>
      <c r="I14" s="7">
        <f>$B14 * IFERROR(VLOOKUP("transport|SO2|Minor restricted activity days", US_national_yearly!$D:$AM, 17, FALSE) / VLOOKUP("transport|SO2|Minor restricted activity days", US_national_yearly!$D:$AM, 10, FALSE), 1)</f>
        <v>2.7960114176696718</v>
      </c>
      <c r="J14" s="7">
        <f>$B14 * IFERROR(VLOOKUP("transport|SO2|Minor restricted activity days", US_national_yearly!$D:$AM, 18, FALSE) / VLOOKUP("transport|SO2|Minor restricted activity days", US_national_yearly!$D:$AM, 10, FALSE), 1)</f>
        <v>2.8132909978524352</v>
      </c>
      <c r="K14" s="7">
        <f>$B14 * IFERROR(VLOOKUP("transport|SO2|Minor restricted activity days", US_national_yearly!$D:$AM, 19, FALSE) / VLOOKUP("transport|SO2|Minor restricted activity days", US_national_yearly!$D:$AM, 10, FALSE), 1)</f>
        <v>2.8305705780351995</v>
      </c>
      <c r="L14" s="7">
        <f>$B14 * IFERROR(VLOOKUP("transport|SO2|Minor restricted activity days", US_national_yearly!$D:$AM, 20, FALSE) / VLOOKUP("transport|SO2|Minor restricted activity days", US_national_yearly!$D:$AM, 10, FALSE), 1)</f>
        <v>2.8478501582179634</v>
      </c>
      <c r="M14" s="7">
        <f>$B14 * IFERROR(VLOOKUP("transport|SO2|Minor restricted activity days", US_national_yearly!$D:$AM, 21, FALSE) / VLOOKUP("transport|SO2|Minor restricted activity days", US_national_yearly!$D:$AM, 10, FALSE), 1)</f>
        <v>2.8651297384007268</v>
      </c>
      <c r="N14" s="7">
        <f>$B14 * IFERROR(VLOOKUP("transport|SO2|Minor restricted activity days", US_national_yearly!$D:$AM, 22, FALSE) / VLOOKUP("transport|SO2|Minor restricted activity days", US_national_yearly!$D:$AM, 10, FALSE), 1)</f>
        <v>2.8887654314269642</v>
      </c>
      <c r="O14" s="7">
        <f>$B14 * IFERROR(VLOOKUP("transport|SO2|Minor restricted activity days", US_national_yearly!$D:$AM, 23, FALSE) / VLOOKUP("transport|SO2|Minor restricted activity days", US_national_yearly!$D:$AM, 10, FALSE), 1)</f>
        <v>2.9124011244532015</v>
      </c>
      <c r="P14" s="7">
        <f>$B14 * IFERROR(VLOOKUP("transport|SO2|Minor restricted activity days", US_national_yearly!$D:$AM, 24, FALSE) / VLOOKUP("transport|SO2|Minor restricted activity days", US_national_yearly!$D:$AM, 10, FALSE), 1)</f>
        <v>2.9360368174794393</v>
      </c>
      <c r="Q14" s="7">
        <f>$B14 * IFERROR(VLOOKUP("transport|SO2|Minor restricted activity days", US_national_yearly!$D:$AM, 25, FALSE) / VLOOKUP("transport|SO2|Minor restricted activity days", US_national_yearly!$D:$AM, 10, FALSE), 1)</f>
        <v>2.9596725105056767</v>
      </c>
      <c r="R14" s="7">
        <f>$B14 * IFERROR(VLOOKUP("transport|SO2|Minor restricted activity days", US_national_yearly!$D:$AM, 26, FALSE) / VLOOKUP("transport|SO2|Minor restricted activity days", US_national_yearly!$D:$AM, 10, FALSE), 1)</f>
        <v>2.9833082035319141</v>
      </c>
      <c r="S14" s="7">
        <f>$B14 * IFERROR(VLOOKUP("transport|SO2|Minor restricted activity days", US_national_yearly!$D:$AM, 27, FALSE) / VLOOKUP("transport|SO2|Minor restricted activity days", US_national_yearly!$D:$AM, 10, FALSE), 1)</f>
        <v>3.007407105890207</v>
      </c>
      <c r="T14" s="7">
        <f>$B14 * IFERROR(VLOOKUP("transport|SO2|Minor restricted activity days", US_national_yearly!$D:$AM, 28, FALSE) / VLOOKUP("transport|SO2|Minor restricted activity days", US_national_yearly!$D:$AM, 10, FALSE), 1)</f>
        <v>3.0315060082484999</v>
      </c>
      <c r="U14" s="7">
        <f>$B14 * IFERROR(VLOOKUP("transport|SO2|Minor restricted activity days", US_national_yearly!$D:$AM, 29, FALSE) / VLOOKUP("transport|SO2|Minor restricted activity days", US_national_yearly!$D:$AM, 10, FALSE), 1)</f>
        <v>3.0556049106067924</v>
      </c>
      <c r="V14" s="7">
        <f>$B14 * IFERROR(VLOOKUP("transport|SO2|Minor restricted activity days", US_national_yearly!$D:$AM, 30, FALSE) / VLOOKUP("transport|SO2|Minor restricted activity days", US_national_yearly!$D:$AM, 10, FALSE), 1)</f>
        <v>3.0797038129650853</v>
      </c>
      <c r="W14" s="7">
        <f>$B14 * IFERROR(VLOOKUP("transport|SO2|Minor restricted activity days", US_national_yearly!$D:$AM, 31, FALSE) / VLOOKUP("transport|SO2|Minor restricted activity days", US_national_yearly!$D:$AM, 10, FALSE), 1)</f>
        <v>3.1038027153233787</v>
      </c>
      <c r="X14" s="7">
        <f>$B14 * IFERROR(VLOOKUP("transport|SO2|Minor restricted activity days", US_national_yearly!$D:$AM, 32, FALSE) / VLOOKUP("transport|SO2|Minor restricted activity days", US_national_yearly!$D:$AM, 10, FALSE), 1)</f>
        <v>3.1249957795344914</v>
      </c>
      <c r="Y14" s="7">
        <f>$B14 * IFERROR(VLOOKUP("transport|SO2|Minor restricted activity days", US_national_yearly!$D:$AM, 33, FALSE) / VLOOKUP("transport|SO2|Minor restricted activity days", US_national_yearly!$D:$AM, 10, FALSE), 1)</f>
        <v>3.1461888437456045</v>
      </c>
      <c r="Z14" s="7">
        <f>$B14 * IFERROR(VLOOKUP("transport|SO2|Minor restricted activity days", US_national_yearly!$D:$AM, 34, FALSE) / VLOOKUP("transport|SO2|Minor restricted activity days", US_national_yearly!$D:$AM, 10, FALSE), 1)</f>
        <v>3.1673819079567176</v>
      </c>
      <c r="AA14" s="7">
        <f>$B14 * IFERROR(VLOOKUP("transport|SO2|Minor restricted activity days", US_national_yearly!$D:$AM, 35, FALSE) / VLOOKUP("transport|SO2|Minor restricted activity days", US_national_yearly!$D:$AM, 10, FALSE), 1)</f>
        <v>3.1885749721678307</v>
      </c>
      <c r="AB14" s="7">
        <f>$B14 * IFERROR(VLOOKUP("transport|SO2|Minor restricted activity days", US_national_yearly!$D:$AM, 36, FALSE) / VLOOKUP("transport|SO2|Minor restricted activity days", US_national_yearly!$D:$AM, 10, FALSE), 1)</f>
        <v>3.2097680363789438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0.46603209678413865</v>
      </c>
      <c r="C15" s="7">
        <f>$B15 * IFERROR(VLOOKUP("transport|SO2|Work loss days", US_national_yearly!$D:$AM, 11, FALSE) / VLOOKUP("transport|SO2|Work loss days", US_national_yearly!$D:$AM, 10, FALSE), 1)</f>
        <v>0.46754196670846926</v>
      </c>
      <c r="D15" s="7">
        <f>$B15 * IFERROR(VLOOKUP("transport|SO2|Work loss days", US_national_yearly!$D:$AM, 12, FALSE) / VLOOKUP("transport|SO2|Work loss days", US_national_yearly!$D:$AM, 10, FALSE), 1)</f>
        <v>0.46905183663279981</v>
      </c>
      <c r="E15" s="7">
        <f>$B15 * IFERROR(VLOOKUP("transport|SO2|Work loss days", US_national_yearly!$D:$AM, 13, FALSE) / VLOOKUP("transport|SO2|Work loss days", US_national_yearly!$D:$AM, 10, FALSE), 1)</f>
        <v>0.47056170655713042</v>
      </c>
      <c r="F15" s="7">
        <f>$B15 * IFERROR(VLOOKUP("transport|SO2|Work loss days", US_national_yearly!$D:$AM, 14, FALSE) / VLOOKUP("transport|SO2|Work loss days", US_national_yearly!$D:$AM, 10, FALSE), 1)</f>
        <v>0.47207157648146103</v>
      </c>
      <c r="G15" s="7">
        <f>$B15 * IFERROR(VLOOKUP("transport|SO2|Work loss days", US_national_yearly!$D:$AM, 15, FALSE) / VLOOKUP("transport|SO2|Work loss days", US_national_yearly!$D:$AM, 10, FALSE), 1)</f>
        <v>0.47404440628199224</v>
      </c>
      <c r="H15" s="7">
        <f>$B15 * IFERROR(VLOOKUP("transport|SO2|Work loss days", US_national_yearly!$D:$AM, 16, FALSE) / VLOOKUP("transport|SO2|Work loss days", US_national_yearly!$D:$AM, 10, FALSE), 1)</f>
        <v>0.47601723608252339</v>
      </c>
      <c r="I15" s="7">
        <f>$B15 * IFERROR(VLOOKUP("transport|SO2|Work loss days", US_national_yearly!$D:$AM, 17, FALSE) / VLOOKUP("transport|SO2|Work loss days", US_national_yearly!$D:$AM, 10, FALSE), 1)</f>
        <v>0.47890322124740603</v>
      </c>
      <c r="J15" s="7">
        <f>$B15 * IFERROR(VLOOKUP("transport|SO2|Work loss days", US_national_yearly!$D:$AM, 18, FALSE) / VLOOKUP("transport|SO2|Work loss days", US_national_yearly!$D:$AM, 10, FALSE), 1)</f>
        <v>0.48178920641228862</v>
      </c>
      <c r="K15" s="7">
        <f>$B15 * IFERROR(VLOOKUP("transport|SO2|Work loss days", US_national_yearly!$D:$AM, 19, FALSE) / VLOOKUP("transport|SO2|Work loss days", US_national_yearly!$D:$AM, 10, FALSE), 1)</f>
        <v>0.48467519157717126</v>
      </c>
      <c r="L15" s="7">
        <f>$B15 * IFERROR(VLOOKUP("transport|SO2|Work loss days", US_national_yearly!$D:$AM, 20, FALSE) / VLOOKUP("transport|SO2|Work loss days", US_national_yearly!$D:$AM, 10, FALSE), 1)</f>
        <v>0.48756117674205396</v>
      </c>
      <c r="M15" s="7">
        <f>$B15 * IFERROR(VLOOKUP("transport|SO2|Work loss days", US_national_yearly!$D:$AM, 21, FALSE) / VLOOKUP("transport|SO2|Work loss days", US_national_yearly!$D:$AM, 10, FALSE), 1)</f>
        <v>0.4904471619069366</v>
      </c>
      <c r="N15" s="7">
        <f>$B15 * IFERROR(VLOOKUP("transport|SO2|Work loss days", US_national_yearly!$D:$AM, 22, FALSE) / VLOOKUP("transport|SO2|Work loss days", US_national_yearly!$D:$AM, 10, FALSE), 1)</f>
        <v>0.494065719628135</v>
      </c>
      <c r="O15" s="7">
        <f>$B15 * IFERROR(VLOOKUP("transport|SO2|Work loss days", US_national_yearly!$D:$AM, 23, FALSE) / VLOOKUP("transport|SO2|Work loss days", US_national_yearly!$D:$AM, 10, FALSE), 1)</f>
        <v>0.49768427734933335</v>
      </c>
      <c r="P15" s="7">
        <f>$B15 * IFERROR(VLOOKUP("transport|SO2|Work loss days", US_national_yearly!$D:$AM, 24, FALSE) / VLOOKUP("transport|SO2|Work loss days", US_national_yearly!$D:$AM, 10, FALSE), 1)</f>
        <v>0.50130283507053153</v>
      </c>
      <c r="Q15" s="7">
        <f>$B15 * IFERROR(VLOOKUP("transport|SO2|Work loss days", US_national_yearly!$D:$AM, 25, FALSE) / VLOOKUP("transport|SO2|Work loss days", US_national_yearly!$D:$AM, 10, FALSE), 1)</f>
        <v>0.50492139279172998</v>
      </c>
      <c r="R15" s="7">
        <f>$B15 * IFERROR(VLOOKUP("transport|SO2|Work loss days", US_national_yearly!$D:$AM, 26, FALSE) / VLOOKUP("transport|SO2|Work loss days", US_national_yearly!$D:$AM, 10, FALSE), 1)</f>
        <v>0.50853995051292833</v>
      </c>
      <c r="S15" s="7">
        <f>$B15 * IFERROR(VLOOKUP("transport|SO2|Work loss days", US_national_yearly!$D:$AM, 27, FALSE) / VLOOKUP("transport|SO2|Work loss days", US_national_yearly!$D:$AM, 10, FALSE), 1)</f>
        <v>0.51258367683613504</v>
      </c>
      <c r="T15" s="7">
        <f>$B15 * IFERROR(VLOOKUP("transport|SO2|Work loss days", US_national_yearly!$D:$AM, 28, FALSE) / VLOOKUP("transport|SO2|Work loss days", US_national_yearly!$D:$AM, 10, FALSE), 1)</f>
        <v>0.51662740315934186</v>
      </c>
      <c r="U15" s="7">
        <f>$B15 * IFERROR(VLOOKUP("transport|SO2|Work loss days", US_national_yearly!$D:$AM, 29, FALSE) / VLOOKUP("transport|SO2|Work loss days", US_national_yearly!$D:$AM, 10, FALSE), 1)</f>
        <v>0.52067112948254857</v>
      </c>
      <c r="V15" s="7">
        <f>$B15 * IFERROR(VLOOKUP("transport|SO2|Work loss days", US_national_yearly!$D:$AM, 30, FALSE) / VLOOKUP("transport|SO2|Work loss days", US_national_yearly!$D:$AM, 10, FALSE), 1)</f>
        <v>0.52471485580575516</v>
      </c>
      <c r="W15" s="7">
        <f>$B15 * IFERROR(VLOOKUP("transport|SO2|Work loss days", US_national_yearly!$D:$AM, 31, FALSE) / VLOOKUP("transport|SO2|Work loss days", US_national_yearly!$D:$AM, 10, FALSE), 1)</f>
        <v>0.52875858212896198</v>
      </c>
      <c r="X15" s="7">
        <f>$B15 * IFERROR(VLOOKUP("transport|SO2|Work loss days", US_national_yearly!$D:$AM, 32, FALSE) / VLOOKUP("transport|SO2|Work loss days", US_national_yearly!$D:$AM, 10, FALSE), 1)</f>
        <v>0.53238929099365173</v>
      </c>
      <c r="Y15" s="7">
        <f>$B15 * IFERROR(VLOOKUP("transport|SO2|Work loss days", US_national_yearly!$D:$AM, 33, FALSE) / VLOOKUP("transport|SO2|Work loss days", US_national_yearly!$D:$AM, 10, FALSE), 1)</f>
        <v>0.53601999985834159</v>
      </c>
      <c r="Z15" s="7">
        <f>$B15 * IFERROR(VLOOKUP("transport|SO2|Work loss days", US_national_yearly!$D:$AM, 34, FALSE) / VLOOKUP("transport|SO2|Work loss days", US_national_yearly!$D:$AM, 10, FALSE), 1)</f>
        <v>0.53965070872303145</v>
      </c>
      <c r="AA15" s="7">
        <f>$B15 * IFERROR(VLOOKUP("transport|SO2|Work loss days", US_national_yearly!$D:$AM, 35, FALSE) / VLOOKUP("transport|SO2|Work loss days", US_national_yearly!$D:$AM, 10, FALSE), 1)</f>
        <v>0.5432814175877213</v>
      </c>
      <c r="AB15" s="7">
        <f>$B15 * IFERROR(VLOOKUP("transport|SO2|Work loss days", US_national_yearly!$D:$AM, 36, FALSE) / VLOOKUP("transport|SO2|Work loss days", US_national_yearly!$D:$AM, 10, FALSE), 1)</f>
        <v>0.54691212645241105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4.9451567412977084E-4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5.0947172182454388E-4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5.2442776951931692E-4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5.3938381721408996E-4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5.54339864908863E-4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5.6866633650260107E-4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5.8299280809633925E-4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5.9526779846564724E-4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6.0754278883495534E-4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6.1981777920426344E-4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6.3209276957357143E-4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6.4436775994287942E-4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6.5261375735380263E-4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6.6085975476472573E-4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6.6910575217564883E-4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6.7735174958657193E-4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6.8559774699749514E-4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6.8993455452007668E-4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6.9427136204265822E-4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6.9860816956523976E-4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7.0294497708782129E-4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7.0728178461040283E-4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7.1019322686421537E-4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7.1310466911802791E-4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7.1601611137184034E-4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7.1892755362565298E-4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7.2183899587946541E-4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9.5626100320659133E-3</v>
      </c>
      <c r="C2" s="7">
        <f>$B2 * IFERROR(VLOOKUP("electricity|PM25|Premature mortality", US_national_yearly!$D:$AM, 11, FALSE) / VLOOKUP("electricity|PM25|Premature mortality", US_national_yearly!$D:$AM, 10, FALSE), 1)</f>
        <v>9.6810547933167315E-3</v>
      </c>
      <c r="D2" s="7">
        <f>$B2 * IFERROR(VLOOKUP("electricity|PM25|Premature mortality", US_national_yearly!$D:$AM, 12, FALSE) / VLOOKUP("electricity|PM25|Premature mortality", US_national_yearly!$D:$AM, 10, FALSE), 1)</f>
        <v>9.7994995545675496E-3</v>
      </c>
      <c r="E2" s="7">
        <f>$B2 * IFERROR(VLOOKUP("electricity|PM25|Premature mortality", US_national_yearly!$D:$AM, 13, FALSE) / VLOOKUP("electricity|PM25|Premature mortality", US_national_yearly!$D:$AM, 10, FALSE), 1)</f>
        <v>9.9179443158183677E-3</v>
      </c>
      <c r="F2" s="7">
        <f>$B2 * IFERROR(VLOOKUP("electricity|PM25|Premature mortality", US_national_yearly!$D:$AM, 14, FALSE) / VLOOKUP("electricity|PM25|Premature mortality", US_national_yearly!$D:$AM, 10, FALSE), 1)</f>
        <v>1.0036389077069188E-2</v>
      </c>
      <c r="G2" s="7">
        <f>$B2 * IFERROR(VLOOKUP("electricity|PM25|Premature mortality", US_national_yearly!$D:$AM, 15, FALSE) / VLOOKUP("electricity|PM25|Premature mortality", US_national_yearly!$D:$AM, 10, FALSE), 1)</f>
        <v>1.0269020887256597E-2</v>
      </c>
      <c r="H2" s="7">
        <f>$B2 * IFERROR(VLOOKUP("electricity|PM25|Premature mortality", US_national_yearly!$D:$AM, 16, FALSE) / VLOOKUP("electricity|PM25|Premature mortality", US_national_yearly!$D:$AM, 10, FALSE), 1)</f>
        <v>1.0501652697444009E-2</v>
      </c>
      <c r="I2" s="7">
        <f>$B2 * IFERROR(VLOOKUP("electricity|PM25|Premature mortality", US_national_yearly!$D:$AM, 17, FALSE) / VLOOKUP("electricity|PM25|Premature mortality", US_national_yearly!$D:$AM, 10, FALSE), 1)</f>
        <v>1.0657959986770243E-2</v>
      </c>
      <c r="J2" s="7">
        <f>$B2 * IFERROR(VLOOKUP("electricity|PM25|Premature mortality", US_national_yearly!$D:$AM, 18, FALSE) / VLOOKUP("electricity|PM25|Premature mortality", US_national_yearly!$D:$AM, 10, FALSE), 1)</f>
        <v>1.081426727609648E-2</v>
      </c>
      <c r="K2" s="7">
        <f>$B2 * IFERROR(VLOOKUP("electricity|PM25|Premature mortality", US_national_yearly!$D:$AM, 19, FALSE) / VLOOKUP("electricity|PM25|Premature mortality", US_national_yearly!$D:$AM, 10, FALSE), 1)</f>
        <v>1.0970574565422712E-2</v>
      </c>
      <c r="L2" s="7">
        <f>$B2 * IFERROR(VLOOKUP("electricity|PM25|Premature mortality", US_national_yearly!$D:$AM, 20, FALSE) / VLOOKUP("electricity|PM25|Premature mortality", US_national_yearly!$D:$AM, 10, FALSE), 1)</f>
        <v>1.1126881854748949E-2</v>
      </c>
      <c r="M2" s="7">
        <f>$B2 * IFERROR(VLOOKUP("electricity|PM25|Premature mortality", US_national_yearly!$D:$AM, 21, FALSE) / VLOOKUP("electricity|PM25|Premature mortality", US_national_yearly!$D:$AM, 10, FALSE), 1)</f>
        <v>1.1283189144075183E-2</v>
      </c>
      <c r="N2" s="7">
        <f>$B2 * IFERROR(VLOOKUP("electricity|PM25|Premature mortality", US_national_yearly!$D:$AM, 22, FALSE) / VLOOKUP("electricity|PM25|Premature mortality", US_national_yearly!$D:$AM, 10, FALSE), 1)</f>
        <v>1.1407783750232516E-2</v>
      </c>
      <c r="O2" s="7">
        <f>$B2 * IFERROR(VLOOKUP("electricity|PM25|Premature mortality", US_national_yearly!$D:$AM, 23, FALSE) / VLOOKUP("electricity|PM25|Premature mortality", US_national_yearly!$D:$AM, 10, FALSE), 1)</f>
        <v>1.1532378356389848E-2</v>
      </c>
      <c r="P2" s="7">
        <f>$B2 * IFERROR(VLOOKUP("electricity|PM25|Premature mortality", US_national_yearly!$D:$AM, 24, FALSE) / VLOOKUP("electricity|PM25|Premature mortality", US_national_yearly!$D:$AM, 10, FALSE), 1)</f>
        <v>1.1656972962547181E-2</v>
      </c>
      <c r="Q2" s="7">
        <f>$B2 * IFERROR(VLOOKUP("electricity|PM25|Premature mortality", US_national_yearly!$D:$AM, 25, FALSE) / VLOOKUP("electricity|PM25|Premature mortality", US_national_yearly!$D:$AM, 10, FALSE), 1)</f>
        <v>1.1781567568704512E-2</v>
      </c>
      <c r="R2" s="7">
        <f>$B2 * IFERROR(VLOOKUP("electricity|PM25|Premature mortality", US_national_yearly!$D:$AM, 26, FALSE) / VLOOKUP("electricity|PM25|Premature mortality", US_national_yearly!$D:$AM, 10, FALSE), 1)</f>
        <v>1.1906162174861845E-2</v>
      </c>
      <c r="S2" s="7">
        <f>$B2 * IFERROR(VLOOKUP("electricity|PM25|Premature mortality", US_national_yearly!$D:$AM, 27, FALSE) / VLOOKUP("electricity|PM25|Premature mortality", US_national_yearly!$D:$AM, 10, FALSE), 1)</f>
        <v>1.1977455876300782E-2</v>
      </c>
      <c r="T2" s="7">
        <f>$B2 * IFERROR(VLOOKUP("electricity|PM25|Premature mortality", US_national_yearly!$D:$AM, 28, FALSE) / VLOOKUP("electricity|PM25|Premature mortality", US_national_yearly!$D:$AM, 10, FALSE), 1)</f>
        <v>1.2048749577739715E-2</v>
      </c>
      <c r="U2" s="7">
        <f>$B2 * IFERROR(VLOOKUP("electricity|PM25|Premature mortality", US_national_yearly!$D:$AM, 29, FALSE) / VLOOKUP("electricity|PM25|Premature mortality", US_national_yearly!$D:$AM, 10, FALSE), 1)</f>
        <v>1.2120043279178653E-2</v>
      </c>
      <c r="V2" s="7">
        <f>$B2 * IFERROR(VLOOKUP("electricity|PM25|Premature mortality", US_national_yearly!$D:$AM, 30, FALSE) / VLOOKUP("electricity|PM25|Premature mortality", US_national_yearly!$D:$AM, 10, FALSE), 1)</f>
        <v>1.2191336980617586E-2</v>
      </c>
      <c r="W2" s="7">
        <f>$B2 * IFERROR(VLOOKUP("electricity|PM25|Premature mortality", US_national_yearly!$D:$AM, 31, FALSE) / VLOOKUP("electricity|PM25|Premature mortality", US_national_yearly!$D:$AM, 10, FALSE), 1)</f>
        <v>1.2262630682056522E-2</v>
      </c>
      <c r="X2" s="7">
        <f>$B2 * IFERROR(VLOOKUP("electricity|PM25|Premature mortality", US_national_yearly!$D:$AM, 32, FALSE) / VLOOKUP("electricity|PM25|Premature mortality", US_national_yearly!$D:$AM, 10, FALSE), 1)</f>
        <v>1.2282435611360221E-2</v>
      </c>
      <c r="Y2" s="7">
        <f>$B2 * IFERROR(VLOOKUP("electricity|PM25|Premature mortality", US_national_yearly!$D:$AM, 33, FALSE) / VLOOKUP("electricity|PM25|Premature mortality", US_national_yearly!$D:$AM, 10, FALSE), 1)</f>
        <v>1.2302240540663919E-2</v>
      </c>
      <c r="Z2" s="7">
        <f>$B2 * IFERROR(VLOOKUP("electricity|PM25|Premature mortality", US_national_yearly!$D:$AM, 34, FALSE) / VLOOKUP("electricity|PM25|Premature mortality", US_national_yearly!$D:$AM, 10, FALSE), 1)</f>
        <v>1.2322045469967617E-2</v>
      </c>
      <c r="AA2" s="7">
        <f>$B2 * IFERROR(VLOOKUP("electricity|PM25|Premature mortality", US_national_yearly!$D:$AM, 35, FALSE) / VLOOKUP("electricity|PM25|Premature mortality", US_national_yearly!$D:$AM, 10, FALSE), 1)</f>
        <v>1.2341850399271317E-2</v>
      </c>
      <c r="AB2" s="7">
        <f>$B2 * IFERROR(VLOOKUP("electricity|PM25|Premature mortality", US_national_yearly!$D:$AM, 36, FALSE) / VLOOKUP("electricity|PM25|Premature mortality", US_national_yearly!$D:$AM, 10, FALSE), 1)</f>
        <v>1.2361655328575015E-2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2.411979826681961E-5</v>
      </c>
      <c r="C3" s="7">
        <f>$B3 * IFERROR(VLOOKUP("electricity|PM25|Infant mortality", US_national_yearly!$D:$AM, 11, FALSE) / VLOOKUP("electricity|PM25|Infant mortality", US_national_yearly!$D:$AM, 10, FALSE), 1)</f>
        <v>2.3909642525275956E-5</v>
      </c>
      <c r="D3" s="7">
        <f>$B3 * IFERROR(VLOOKUP("electricity|PM25|Infant mortality", US_national_yearly!$D:$AM, 12, FALSE) / VLOOKUP("electricity|PM25|Infant mortality", US_national_yearly!$D:$AM, 10, FALSE), 1)</f>
        <v>2.3699486783732309E-5</v>
      </c>
      <c r="E3" s="7">
        <f>$B3 * IFERROR(VLOOKUP("electricity|PM25|Infant mortality", US_national_yearly!$D:$AM, 13, FALSE) / VLOOKUP("electricity|PM25|Infant mortality", US_national_yearly!$D:$AM, 10, FALSE), 1)</f>
        <v>2.3489331042188655E-5</v>
      </c>
      <c r="F3" s="7">
        <f>$B3 * IFERROR(VLOOKUP("electricity|PM25|Infant mortality", US_national_yearly!$D:$AM, 14, FALSE) / VLOOKUP("electricity|PM25|Infant mortality", US_national_yearly!$D:$AM, 10, FALSE), 1)</f>
        <v>2.3279175300645001E-5</v>
      </c>
      <c r="G3" s="7">
        <f>$B3 * IFERROR(VLOOKUP("electricity|PM25|Infant mortality", US_national_yearly!$D:$AM, 15, FALSE) / VLOOKUP("electricity|PM25|Infant mortality", US_national_yearly!$D:$AM, 10, FALSE), 1)</f>
        <v>1.5438023484375177E-5</v>
      </c>
      <c r="H3" s="7">
        <f>$B3 * IFERROR(VLOOKUP("electricity|PM25|Infant mortality", US_national_yearly!$D:$AM, 16, FALSE) / VLOOKUP("electricity|PM25|Infant mortality", US_national_yearly!$D:$AM, 10, FALSE), 1)</f>
        <v>7.5968716681053516E-6</v>
      </c>
      <c r="I3" s="7">
        <f>$B3 * IFERROR(VLOOKUP("electricity|PM25|Infant mortality", US_national_yearly!$D:$AM, 17, FALSE) / VLOOKUP("electricity|PM25|Infant mortality", US_national_yearly!$D:$AM, 10, FALSE), 1)</f>
        <v>7.5432342730570512E-6</v>
      </c>
      <c r="J3" s="7">
        <f>$B3 * IFERROR(VLOOKUP("electricity|PM25|Infant mortality", US_national_yearly!$D:$AM, 18, FALSE) / VLOOKUP("electricity|PM25|Infant mortality", US_national_yearly!$D:$AM, 10, FALSE), 1)</f>
        <v>7.4895968780087542E-6</v>
      </c>
      <c r="K3" s="7">
        <f>$B3 * IFERROR(VLOOKUP("electricity|PM25|Infant mortality", US_national_yearly!$D:$AM, 19, FALSE) / VLOOKUP("electricity|PM25|Infant mortality", US_national_yearly!$D:$AM, 10, FALSE), 1)</f>
        <v>7.4359594829604539E-6</v>
      </c>
      <c r="L3" s="7">
        <f>$B3 * IFERROR(VLOOKUP("electricity|PM25|Infant mortality", US_national_yearly!$D:$AM, 20, FALSE) / VLOOKUP("electricity|PM25|Infant mortality", US_national_yearly!$D:$AM, 10, FALSE), 1)</f>
        <v>7.3823220879121552E-6</v>
      </c>
      <c r="M3" s="7">
        <f>$B3 * IFERROR(VLOOKUP("electricity|PM25|Infant mortality", US_national_yearly!$D:$AM, 21, FALSE) / VLOOKUP("electricity|PM25|Infant mortality", US_national_yearly!$D:$AM, 10, FALSE), 1)</f>
        <v>7.3286846928638565E-6</v>
      </c>
      <c r="N3" s="7">
        <f>$B3 * IFERROR(VLOOKUP("electricity|PM25|Infant mortality", US_national_yearly!$D:$AM, 22, FALSE) / VLOOKUP("electricity|PM25|Infant mortality", US_national_yearly!$D:$AM, 10, FALSE), 1)</f>
        <v>7.2941887265345476E-6</v>
      </c>
      <c r="O3" s="7">
        <f>$B3 * IFERROR(VLOOKUP("electricity|PM25|Infant mortality", US_national_yearly!$D:$AM, 23, FALSE) / VLOOKUP("electricity|PM25|Infant mortality", US_national_yearly!$D:$AM, 10, FALSE), 1)</f>
        <v>7.2596927602052388E-6</v>
      </c>
      <c r="P3" s="7">
        <f>$B3 * IFERROR(VLOOKUP("electricity|PM25|Infant mortality", US_national_yearly!$D:$AM, 24, FALSE) / VLOOKUP("electricity|PM25|Infant mortality", US_national_yearly!$D:$AM, 10, FALSE), 1)</f>
        <v>7.225196793875929E-6</v>
      </c>
      <c r="Q3" s="7">
        <f>$B3 * IFERROR(VLOOKUP("electricity|PM25|Infant mortality", US_national_yearly!$D:$AM, 25, FALSE) / VLOOKUP("electricity|PM25|Infant mortality", US_national_yearly!$D:$AM, 10, FALSE), 1)</f>
        <v>7.1907008275466202E-6</v>
      </c>
      <c r="R3" s="7">
        <f>$B3 * IFERROR(VLOOKUP("electricity|PM25|Infant mortality", US_national_yearly!$D:$AM, 26, FALSE) / VLOOKUP("electricity|PM25|Infant mortality", US_national_yearly!$D:$AM, 10, FALSE), 1)</f>
        <v>7.1562048612173105E-6</v>
      </c>
      <c r="S3" s="7">
        <f>$B3 * IFERROR(VLOOKUP("electricity|PM25|Infant mortality", US_national_yearly!$D:$AM, 27, FALSE) / VLOOKUP("electricity|PM25|Infant mortality", US_national_yearly!$D:$AM, 10, FALSE), 1)</f>
        <v>7.1148779226900951E-6</v>
      </c>
      <c r="T3" s="7">
        <f>$B3 * IFERROR(VLOOKUP("electricity|PM25|Infant mortality", US_national_yearly!$D:$AM, 28, FALSE) / VLOOKUP("electricity|PM25|Infant mortality", US_national_yearly!$D:$AM, 10, FALSE), 1)</f>
        <v>7.0735509841628806E-6</v>
      </c>
      <c r="U3" s="7">
        <f>$B3 * IFERROR(VLOOKUP("electricity|PM25|Infant mortality", US_national_yearly!$D:$AM, 29, FALSE) / VLOOKUP("electricity|PM25|Infant mortality", US_national_yearly!$D:$AM, 10, FALSE), 1)</f>
        <v>7.032224045635667E-6</v>
      </c>
      <c r="V3" s="7">
        <f>$B3 * IFERROR(VLOOKUP("electricity|PM25|Infant mortality", US_national_yearly!$D:$AM, 30, FALSE) / VLOOKUP("electricity|PM25|Infant mortality", US_national_yearly!$D:$AM, 10, FALSE), 1)</f>
        <v>6.9908971071084516E-6</v>
      </c>
      <c r="W3" s="7">
        <f>$B3 * IFERROR(VLOOKUP("electricity|PM25|Infant mortality", US_national_yearly!$D:$AM, 31, FALSE) / VLOOKUP("electricity|PM25|Infant mortality", US_national_yearly!$D:$AM, 10, FALSE), 1)</f>
        <v>6.9495701685812371E-6</v>
      </c>
      <c r="X3" s="7">
        <f>$B3 * IFERROR(VLOOKUP("electricity|PM25|Infant mortality", US_national_yearly!$D:$AM, 32, FALSE) / VLOOKUP("electricity|PM25|Infant mortality", US_national_yearly!$D:$AM, 10, FALSE), 1)</f>
        <v>6.906863937517487E-6</v>
      </c>
      <c r="Y3" s="7">
        <f>$B3 * IFERROR(VLOOKUP("electricity|PM25|Infant mortality", US_national_yearly!$D:$AM, 33, FALSE) / VLOOKUP("electricity|PM25|Infant mortality", US_national_yearly!$D:$AM, 10, FALSE), 1)</f>
        <v>6.8641577064537369E-6</v>
      </c>
      <c r="Z3" s="7">
        <f>$B3 * IFERROR(VLOOKUP("electricity|PM25|Infant mortality", US_national_yearly!$D:$AM, 34, FALSE) / VLOOKUP("electricity|PM25|Infant mortality", US_national_yearly!$D:$AM, 10, FALSE), 1)</f>
        <v>6.8214514753899868E-6</v>
      </c>
      <c r="AA3" s="7">
        <f>$B3 * IFERROR(VLOOKUP("electricity|PM25|Infant mortality", US_national_yearly!$D:$AM, 35, FALSE) / VLOOKUP("electricity|PM25|Infant mortality", US_national_yearly!$D:$AM, 10, FALSE), 1)</f>
        <v>6.7787452443262375E-6</v>
      </c>
      <c r="AB3" s="7">
        <f>$B3 * IFERROR(VLOOKUP("electricity|PM25|Infant mortality", US_national_yearly!$D:$AM, 36, FALSE) / VLOOKUP("electricity|PM25|Infant mortality", US_national_yearly!$D:$AM, 10, FALSE), 1)</f>
        <v>6.7360390132624874E-6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2.8246423520841699E-2</v>
      </c>
      <c r="C6" s="7">
        <f>$B6 * IFERROR(VLOOKUP("electricity|PM25|Asthma symptoms cough", US_national_yearly!$D:$AM, 11, FALSE) / VLOOKUP("electricity|PM25|Asthma symptoms cough", US_national_yearly!$D:$AM, 10, FALSE), 1)</f>
        <v>2.8246423520841699E-2</v>
      </c>
      <c r="D6" s="7">
        <f>$B6 * IFERROR(VLOOKUP("electricity|PM25|Asthma symptoms cough", US_national_yearly!$D:$AM, 12, FALSE) / VLOOKUP("electricity|PM25|Asthma symptoms cough", US_national_yearly!$D:$AM, 10, FALSE), 1)</f>
        <v>2.8246423520841699E-2</v>
      </c>
      <c r="E6" s="7">
        <f>$B6 * IFERROR(VLOOKUP("electricity|PM25|Asthma symptoms cough", US_national_yearly!$D:$AM, 13, FALSE) / VLOOKUP("electricity|PM25|Asthma symptoms cough", US_national_yearly!$D:$AM, 10, FALSE), 1)</f>
        <v>2.8246423520841699E-2</v>
      </c>
      <c r="F6" s="7">
        <f>$B6 * IFERROR(VLOOKUP("electricity|PM25|Asthma symptoms cough", US_national_yearly!$D:$AM, 14, FALSE) / VLOOKUP("electricity|PM25|Asthma symptoms cough", US_national_yearly!$D:$AM, 10, FALSE), 1)</f>
        <v>2.8246423520841699E-2</v>
      </c>
      <c r="G6" s="7">
        <f>$B6 * IFERROR(VLOOKUP("electricity|PM25|Asthma symptoms cough", US_national_yearly!$D:$AM, 15, FALSE) / VLOOKUP("electricity|PM25|Asthma symptoms cough", US_national_yearly!$D:$AM, 10, FALSE), 1)</f>
        <v>2.8246423520841699E-2</v>
      </c>
      <c r="H6" s="7">
        <f>$B6 * IFERROR(VLOOKUP("electricity|PM25|Asthma symptoms cough", US_national_yearly!$D:$AM, 16, FALSE) / VLOOKUP("electricity|PM25|Asthma symptoms cough", US_national_yearly!$D:$AM, 10, FALSE), 1)</f>
        <v>2.8246423520841699E-2</v>
      </c>
      <c r="I6" s="7">
        <f>$B6 * IFERROR(VLOOKUP("electricity|PM25|Asthma symptoms cough", US_national_yearly!$D:$AM, 17, FALSE) / VLOOKUP("electricity|PM25|Asthma symptoms cough", US_national_yearly!$D:$AM, 10, FALSE), 1)</f>
        <v>2.8246423520841699E-2</v>
      </c>
      <c r="J6" s="7">
        <f>$B6 * IFERROR(VLOOKUP("electricity|PM25|Asthma symptoms cough", US_national_yearly!$D:$AM, 18, FALSE) / VLOOKUP("electricity|PM25|Asthma symptoms cough", US_national_yearly!$D:$AM, 10, FALSE), 1)</f>
        <v>2.8246423520841699E-2</v>
      </c>
      <c r="K6" s="7">
        <f>$B6 * IFERROR(VLOOKUP("electricity|PM25|Asthma symptoms cough", US_national_yearly!$D:$AM, 19, FALSE) / VLOOKUP("electricity|PM25|Asthma symptoms cough", US_national_yearly!$D:$AM, 10, FALSE), 1)</f>
        <v>2.8246423520841699E-2</v>
      </c>
      <c r="L6" s="7">
        <f>$B6 * IFERROR(VLOOKUP("electricity|PM25|Asthma symptoms cough", US_national_yearly!$D:$AM, 20, FALSE) / VLOOKUP("electricity|PM25|Asthma symptoms cough", US_national_yearly!$D:$AM, 10, FALSE), 1)</f>
        <v>2.8246423520841699E-2</v>
      </c>
      <c r="M6" s="7">
        <f>$B6 * IFERROR(VLOOKUP("electricity|PM25|Asthma symptoms cough", US_national_yearly!$D:$AM, 21, FALSE) / VLOOKUP("electricity|PM25|Asthma symptoms cough", US_national_yearly!$D:$AM, 10, FALSE), 1)</f>
        <v>2.8246423520841699E-2</v>
      </c>
      <c r="N6" s="7">
        <f>$B6 * IFERROR(VLOOKUP("electricity|PM25|Asthma symptoms cough", US_national_yearly!$D:$AM, 22, FALSE) / VLOOKUP("electricity|PM25|Asthma symptoms cough", US_national_yearly!$D:$AM, 10, FALSE), 1)</f>
        <v>2.8246423520841699E-2</v>
      </c>
      <c r="O6" s="7">
        <f>$B6 * IFERROR(VLOOKUP("electricity|PM25|Asthma symptoms cough", US_national_yearly!$D:$AM, 23, FALSE) / VLOOKUP("electricity|PM25|Asthma symptoms cough", US_national_yearly!$D:$AM, 10, FALSE), 1)</f>
        <v>2.8246423520841699E-2</v>
      </c>
      <c r="P6" s="7">
        <f>$B6 * IFERROR(VLOOKUP("electricity|PM25|Asthma symptoms cough", US_national_yearly!$D:$AM, 24, FALSE) / VLOOKUP("electricity|PM25|Asthma symptoms cough", US_national_yearly!$D:$AM, 10, FALSE), 1)</f>
        <v>2.8246423520841699E-2</v>
      </c>
      <c r="Q6" s="7">
        <f>$B6 * IFERROR(VLOOKUP("electricity|PM25|Asthma symptoms cough", US_national_yearly!$D:$AM, 25, FALSE) / VLOOKUP("electricity|PM25|Asthma symptoms cough", US_national_yearly!$D:$AM, 10, FALSE), 1)</f>
        <v>2.8246423520841699E-2</v>
      </c>
      <c r="R6" s="7">
        <f>$B6 * IFERROR(VLOOKUP("electricity|PM25|Asthma symptoms cough", US_national_yearly!$D:$AM, 26, FALSE) / VLOOKUP("electricity|PM25|Asthma symptoms cough", US_national_yearly!$D:$AM, 10, FALSE), 1)</f>
        <v>2.8246423520841699E-2</v>
      </c>
      <c r="S6" s="7">
        <f>$B6 * IFERROR(VLOOKUP("electricity|PM25|Asthma symptoms cough", US_national_yearly!$D:$AM, 27, FALSE) / VLOOKUP("electricity|PM25|Asthma symptoms cough", US_national_yearly!$D:$AM, 10, FALSE), 1)</f>
        <v>2.8246423520841699E-2</v>
      </c>
      <c r="T6" s="7">
        <f>$B6 * IFERROR(VLOOKUP("electricity|PM25|Asthma symptoms cough", US_national_yearly!$D:$AM, 28, FALSE) / VLOOKUP("electricity|PM25|Asthma symptoms cough", US_national_yearly!$D:$AM, 10, FALSE), 1)</f>
        <v>2.8246423520841699E-2</v>
      </c>
      <c r="U6" s="7">
        <f>$B6 * IFERROR(VLOOKUP("electricity|PM25|Asthma symptoms cough", US_national_yearly!$D:$AM, 29, FALSE) / VLOOKUP("electricity|PM25|Asthma symptoms cough", US_national_yearly!$D:$AM, 10, FALSE), 1)</f>
        <v>2.8246423520841699E-2</v>
      </c>
      <c r="V6" s="7">
        <f>$B6 * IFERROR(VLOOKUP("electricity|PM25|Asthma symptoms cough", US_national_yearly!$D:$AM, 30, FALSE) / VLOOKUP("electricity|PM25|Asthma symptoms cough", US_national_yearly!$D:$AM, 10, FALSE), 1)</f>
        <v>2.8246423520841699E-2</v>
      </c>
      <c r="W6" s="7">
        <f>$B6 * IFERROR(VLOOKUP("electricity|PM25|Asthma symptoms cough", US_national_yearly!$D:$AM, 31, FALSE) / VLOOKUP("electricity|PM25|Asthma symptoms cough", US_national_yearly!$D:$AM, 10, FALSE), 1)</f>
        <v>2.8246423520841699E-2</v>
      </c>
      <c r="X6" s="7">
        <f>$B6 * IFERROR(VLOOKUP("electricity|PM25|Asthma symptoms cough", US_national_yearly!$D:$AM, 32, FALSE) / VLOOKUP("electricity|PM25|Asthma symptoms cough", US_national_yearly!$D:$AM, 10, FALSE), 1)</f>
        <v>2.8246423520841699E-2</v>
      </c>
      <c r="Y6" s="7">
        <f>$B6 * IFERROR(VLOOKUP("electricity|PM25|Asthma symptoms cough", US_national_yearly!$D:$AM, 33, FALSE) / VLOOKUP("electricity|PM25|Asthma symptoms cough", US_national_yearly!$D:$AM, 10, FALSE), 1)</f>
        <v>2.8246423520841699E-2</v>
      </c>
      <c r="Z6" s="7">
        <f>$B6 * IFERROR(VLOOKUP("electricity|PM25|Asthma symptoms cough", US_national_yearly!$D:$AM, 34, FALSE) / VLOOKUP("electricity|PM25|Asthma symptoms cough", US_national_yearly!$D:$AM, 10, FALSE), 1)</f>
        <v>2.8246423520841699E-2</v>
      </c>
      <c r="AA6" s="7">
        <f>$B6 * IFERROR(VLOOKUP("electricity|PM25|Asthma symptoms cough", US_national_yearly!$D:$AM, 35, FALSE) / VLOOKUP("electricity|PM25|Asthma symptoms cough", US_national_yearly!$D:$AM, 10, FALSE), 1)</f>
        <v>2.8246423520841699E-2</v>
      </c>
      <c r="AB6" s="7">
        <f>$B6 * IFERROR(VLOOKUP("electricity|PM25|Asthma symptoms cough", US_national_yearly!$D:$AM, 36, FALSE) / VLOOKUP("electricity|PM25|Asthma symptoms cough", US_national_yearly!$D:$AM, 10, FALSE), 1)</f>
        <v>2.8246423520841699E-2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3.8037706353073193E-2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3.8037706353073193E-2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3.8037706353073193E-2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3.8037706353073193E-2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3.8037706353073193E-2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3.8037706353073193E-2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3.8037706353073193E-2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3.8037706353073193E-2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3.8037706353073193E-2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3.8037706353073193E-2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3.8037706353073193E-2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3.8037706353073193E-2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3.8037706353073193E-2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3.8037706353073193E-2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3.8037706353073193E-2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3.8037706353073193E-2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3.8037706353073193E-2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3.8037706353073193E-2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3.8037706353073193E-2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3.8037706353073193E-2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3.8037706353073193E-2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3.8037706353073193E-2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3.8037706353073193E-2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3.8037706353073193E-2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3.8037706353073193E-2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3.8037706353073193E-2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3.8037706353073193E-2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5.8115887846735312E-2</v>
      </c>
      <c r="C8" s="7">
        <f>$B8 * IFERROR(VLOOKUP("electricity|PM25|Asthma symptoms wheeze", US_national_yearly!$D:$AM, 11, FALSE) / VLOOKUP("electricity|PM25|Asthma symptoms wheeze", US_national_yearly!$D:$AM, 10, FALSE), 1)</f>
        <v>5.8115887846735312E-2</v>
      </c>
      <c r="D8" s="7">
        <f>$B8 * IFERROR(VLOOKUP("electricity|PM25|Asthma symptoms wheeze", US_national_yearly!$D:$AM, 12, FALSE) / VLOOKUP("electricity|PM25|Asthma symptoms wheeze", US_national_yearly!$D:$AM, 10, FALSE), 1)</f>
        <v>5.8115887846735312E-2</v>
      </c>
      <c r="E8" s="7">
        <f>$B8 * IFERROR(VLOOKUP("electricity|PM25|Asthma symptoms wheeze", US_national_yearly!$D:$AM, 13, FALSE) / VLOOKUP("electricity|PM25|Asthma symptoms wheeze", US_national_yearly!$D:$AM, 10, FALSE), 1)</f>
        <v>5.8115887846735312E-2</v>
      </c>
      <c r="F8" s="7">
        <f>$B8 * IFERROR(VLOOKUP("electricity|PM25|Asthma symptoms wheeze", US_national_yearly!$D:$AM, 14, FALSE) / VLOOKUP("electricity|PM25|Asthma symptoms wheeze", US_national_yearly!$D:$AM, 10, FALSE), 1)</f>
        <v>5.8115887846735312E-2</v>
      </c>
      <c r="G8" s="7">
        <f>$B8 * IFERROR(VLOOKUP("electricity|PM25|Asthma symptoms wheeze", US_national_yearly!$D:$AM, 15, FALSE) / VLOOKUP("electricity|PM25|Asthma symptoms wheeze", US_national_yearly!$D:$AM, 10, FALSE), 1)</f>
        <v>5.8115887846735312E-2</v>
      </c>
      <c r="H8" s="7">
        <f>$B8 * IFERROR(VLOOKUP("electricity|PM25|Asthma symptoms wheeze", US_national_yearly!$D:$AM, 16, FALSE) / VLOOKUP("electricity|PM25|Asthma symptoms wheeze", US_national_yearly!$D:$AM, 10, FALSE), 1)</f>
        <v>5.8115887846735312E-2</v>
      </c>
      <c r="I8" s="7">
        <f>$B8 * IFERROR(VLOOKUP("electricity|PM25|Asthma symptoms wheeze", US_national_yearly!$D:$AM, 17, FALSE) / VLOOKUP("electricity|PM25|Asthma symptoms wheeze", US_national_yearly!$D:$AM, 10, FALSE), 1)</f>
        <v>5.8115887846735312E-2</v>
      </c>
      <c r="J8" s="7">
        <f>$B8 * IFERROR(VLOOKUP("electricity|PM25|Asthma symptoms wheeze", US_national_yearly!$D:$AM, 18, FALSE) / VLOOKUP("electricity|PM25|Asthma symptoms wheeze", US_national_yearly!$D:$AM, 10, FALSE), 1)</f>
        <v>5.8115887846735312E-2</v>
      </c>
      <c r="K8" s="7">
        <f>$B8 * IFERROR(VLOOKUP("electricity|PM25|Asthma symptoms wheeze", US_national_yearly!$D:$AM, 19, FALSE) / VLOOKUP("electricity|PM25|Asthma symptoms wheeze", US_national_yearly!$D:$AM, 10, FALSE), 1)</f>
        <v>5.8115887846735312E-2</v>
      </c>
      <c r="L8" s="7">
        <f>$B8 * IFERROR(VLOOKUP("electricity|PM25|Asthma symptoms wheeze", US_national_yearly!$D:$AM, 20, FALSE) / VLOOKUP("electricity|PM25|Asthma symptoms wheeze", US_national_yearly!$D:$AM, 10, FALSE), 1)</f>
        <v>5.8115887846735312E-2</v>
      </c>
      <c r="M8" s="7">
        <f>$B8 * IFERROR(VLOOKUP("electricity|PM25|Asthma symptoms wheeze", US_national_yearly!$D:$AM, 21, FALSE) / VLOOKUP("electricity|PM25|Asthma symptoms wheeze", US_national_yearly!$D:$AM, 10, FALSE), 1)</f>
        <v>5.8115887846735312E-2</v>
      </c>
      <c r="N8" s="7">
        <f>$B8 * IFERROR(VLOOKUP("electricity|PM25|Asthma symptoms wheeze", US_national_yearly!$D:$AM, 22, FALSE) / VLOOKUP("electricity|PM25|Asthma symptoms wheeze", US_national_yearly!$D:$AM, 10, FALSE), 1)</f>
        <v>5.8115887846735312E-2</v>
      </c>
      <c r="O8" s="7">
        <f>$B8 * IFERROR(VLOOKUP("electricity|PM25|Asthma symptoms wheeze", US_national_yearly!$D:$AM, 23, FALSE) / VLOOKUP("electricity|PM25|Asthma symptoms wheeze", US_national_yearly!$D:$AM, 10, FALSE), 1)</f>
        <v>5.8115887846735312E-2</v>
      </c>
      <c r="P8" s="7">
        <f>$B8 * IFERROR(VLOOKUP("electricity|PM25|Asthma symptoms wheeze", US_national_yearly!$D:$AM, 24, FALSE) / VLOOKUP("electricity|PM25|Asthma symptoms wheeze", US_national_yearly!$D:$AM, 10, FALSE), 1)</f>
        <v>5.8115887846735312E-2</v>
      </c>
      <c r="Q8" s="7">
        <f>$B8 * IFERROR(VLOOKUP("electricity|PM25|Asthma symptoms wheeze", US_national_yearly!$D:$AM, 25, FALSE) / VLOOKUP("electricity|PM25|Asthma symptoms wheeze", US_national_yearly!$D:$AM, 10, FALSE), 1)</f>
        <v>5.8115887846735312E-2</v>
      </c>
      <c r="R8" s="7">
        <f>$B8 * IFERROR(VLOOKUP("electricity|PM25|Asthma symptoms wheeze", US_national_yearly!$D:$AM, 26, FALSE) / VLOOKUP("electricity|PM25|Asthma symptoms wheeze", US_national_yearly!$D:$AM, 10, FALSE), 1)</f>
        <v>5.8115887846735312E-2</v>
      </c>
      <c r="S8" s="7">
        <f>$B8 * IFERROR(VLOOKUP("electricity|PM25|Asthma symptoms wheeze", US_national_yearly!$D:$AM, 27, FALSE) / VLOOKUP("electricity|PM25|Asthma symptoms wheeze", US_national_yearly!$D:$AM, 10, FALSE), 1)</f>
        <v>5.8115887846735312E-2</v>
      </c>
      <c r="T8" s="7">
        <f>$B8 * IFERROR(VLOOKUP("electricity|PM25|Asthma symptoms wheeze", US_national_yearly!$D:$AM, 28, FALSE) / VLOOKUP("electricity|PM25|Asthma symptoms wheeze", US_national_yearly!$D:$AM, 10, FALSE), 1)</f>
        <v>5.8115887846735312E-2</v>
      </c>
      <c r="U8" s="7">
        <f>$B8 * IFERROR(VLOOKUP("electricity|PM25|Asthma symptoms wheeze", US_national_yearly!$D:$AM, 29, FALSE) / VLOOKUP("electricity|PM25|Asthma symptoms wheeze", US_national_yearly!$D:$AM, 10, FALSE), 1)</f>
        <v>5.8115887846735312E-2</v>
      </c>
      <c r="V8" s="7">
        <f>$B8 * IFERROR(VLOOKUP("electricity|PM25|Asthma symptoms wheeze", US_national_yearly!$D:$AM, 30, FALSE) / VLOOKUP("electricity|PM25|Asthma symptoms wheeze", US_national_yearly!$D:$AM, 10, FALSE), 1)</f>
        <v>5.8115887846735312E-2</v>
      </c>
      <c r="W8" s="7">
        <f>$B8 * IFERROR(VLOOKUP("electricity|PM25|Asthma symptoms wheeze", US_national_yearly!$D:$AM, 31, FALSE) / VLOOKUP("electricity|PM25|Asthma symptoms wheeze", US_national_yearly!$D:$AM, 10, FALSE), 1)</f>
        <v>5.8115887846735312E-2</v>
      </c>
      <c r="X8" s="7">
        <f>$B8 * IFERROR(VLOOKUP("electricity|PM25|Asthma symptoms wheeze", US_national_yearly!$D:$AM, 32, FALSE) / VLOOKUP("electricity|PM25|Asthma symptoms wheeze", US_national_yearly!$D:$AM, 10, FALSE), 1)</f>
        <v>5.8115887846735312E-2</v>
      </c>
      <c r="Y8" s="7">
        <f>$B8 * IFERROR(VLOOKUP("electricity|PM25|Asthma symptoms wheeze", US_national_yearly!$D:$AM, 33, FALSE) / VLOOKUP("electricity|PM25|Asthma symptoms wheeze", US_national_yearly!$D:$AM, 10, FALSE), 1)</f>
        <v>5.8115887846735312E-2</v>
      </c>
      <c r="Z8" s="7">
        <f>$B8 * IFERROR(VLOOKUP("electricity|PM25|Asthma symptoms wheeze", US_national_yearly!$D:$AM, 34, FALSE) / VLOOKUP("electricity|PM25|Asthma symptoms wheeze", US_national_yearly!$D:$AM, 10, FALSE), 1)</f>
        <v>5.8115887846735312E-2</v>
      </c>
      <c r="AA8" s="7">
        <f>$B8 * IFERROR(VLOOKUP("electricity|PM25|Asthma symptoms wheeze", US_national_yearly!$D:$AM, 35, FALSE) / VLOOKUP("electricity|PM25|Asthma symptoms wheeze", US_national_yearly!$D:$AM, 10, FALSE), 1)</f>
        <v>5.8115887846735312E-2</v>
      </c>
      <c r="AB8" s="7">
        <f>$B8 * IFERROR(VLOOKUP("electricity|PM25|Asthma symptoms wheeze", US_national_yearly!$D:$AM, 36, FALSE) / VLOOKUP("electricity|PM25|Asthma symptoms wheeze", US_national_yearly!$D:$AM, 10, FALSE), 1)</f>
        <v>5.8115887846735312E-2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6.559274570830184E-4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6.5953235453352342E-4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6.6313725198402821E-4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6.6674214943453333E-4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6.7034704688503823E-4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6.7421140834100399E-4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6.7807576979696986E-4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6.8152818197887938E-4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6.8498059416078889E-4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6.884330063426983E-4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6.918854185246077E-4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6.9533783070651733E-4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6.9766660531605813E-4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6.9999537992559914E-4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7.0232415453514005E-4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7.0465292914468085E-4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7.0698170375422186E-4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7.0915179600688886E-4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7.1132188825955565E-4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7.1349198051222254E-4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7.1566207276488943E-4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7.1783216501755621E-4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7.1997797299283898E-4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7.2212378096812152E-4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7.2426958894340418E-4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7.2641539691868672E-4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7.2856120489396949E-4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4.0294582288985309E-3</v>
      </c>
      <c r="C13" s="7">
        <f>$B13 * IFERROR(VLOOKUP("electricity|PM25|Non-fatal heart attacks", US_national_yearly!$D:$AM, 11, FALSE) / VLOOKUP("electricity|PM25|Non-fatal heart attacks", US_national_yearly!$D:$AM, 10, FALSE), 1)</f>
        <v>4.1461707685395196E-3</v>
      </c>
      <c r="D13" s="7">
        <f>$B13 * IFERROR(VLOOKUP("electricity|PM25|Non-fatal heart attacks", US_national_yearly!$D:$AM, 12, FALSE) / VLOOKUP("electricity|PM25|Non-fatal heart attacks", US_national_yearly!$D:$AM, 10, FALSE), 1)</f>
        <v>4.2628833081805083E-3</v>
      </c>
      <c r="E13" s="7">
        <f>$B13 * IFERROR(VLOOKUP("electricity|PM25|Non-fatal heart attacks", US_national_yearly!$D:$AM, 13, FALSE) / VLOOKUP("electricity|PM25|Non-fatal heart attacks", US_national_yearly!$D:$AM, 10, FALSE), 1)</f>
        <v>4.3795958478214953E-3</v>
      </c>
      <c r="F13" s="7">
        <f>$B13 * IFERROR(VLOOKUP("electricity|PM25|Non-fatal heart attacks", US_national_yearly!$D:$AM, 14, FALSE) / VLOOKUP("electricity|PM25|Non-fatal heart attacks", US_national_yearly!$D:$AM, 10, FALSE), 1)</f>
        <v>4.496308387462484E-3</v>
      </c>
      <c r="G13" s="7">
        <f>$B13 * IFERROR(VLOOKUP("electricity|PM25|Non-fatal heart attacks", US_national_yearly!$D:$AM, 15, FALSE) / VLOOKUP("electricity|PM25|Non-fatal heart attacks", US_national_yearly!$D:$AM, 10, FALSE), 1)</f>
        <v>4.6070880780887244E-3</v>
      </c>
      <c r="H13" s="7">
        <f>$B13 * IFERROR(VLOOKUP("electricity|PM25|Non-fatal heart attacks", US_national_yearly!$D:$AM, 16, FALSE) / VLOOKUP("electricity|PM25|Non-fatal heart attacks", US_national_yearly!$D:$AM, 10, FALSE), 1)</f>
        <v>4.7178677687149629E-3</v>
      </c>
      <c r="I13" s="7">
        <f>$B13 * IFERROR(VLOOKUP("electricity|PM25|Non-fatal heart attacks", US_national_yearly!$D:$AM, 17, FALSE) / VLOOKUP("electricity|PM25|Non-fatal heart attacks", US_national_yearly!$D:$AM, 10, FALSE), 1)</f>
        <v>4.8082509181041249E-3</v>
      </c>
      <c r="J13" s="7">
        <f>$B13 * IFERROR(VLOOKUP("electricity|PM25|Non-fatal heart attacks", US_national_yearly!$D:$AM, 18, FALSE) / VLOOKUP("electricity|PM25|Non-fatal heart attacks", US_national_yearly!$D:$AM, 10, FALSE), 1)</f>
        <v>4.8986340674932877E-3</v>
      </c>
      <c r="K13" s="7">
        <f>$B13 * IFERROR(VLOOKUP("electricity|PM25|Non-fatal heart attacks", US_national_yearly!$D:$AM, 19, FALSE) / VLOOKUP("electricity|PM25|Non-fatal heart attacks", US_national_yearly!$D:$AM, 10, FALSE), 1)</f>
        <v>4.9890172168824487E-3</v>
      </c>
      <c r="L13" s="7">
        <f>$B13 * IFERROR(VLOOKUP("electricity|PM25|Non-fatal heart attacks", US_national_yearly!$D:$AM, 20, FALSE) / VLOOKUP("electricity|PM25|Non-fatal heart attacks", US_national_yearly!$D:$AM, 10, FALSE), 1)</f>
        <v>5.0794003662716098E-3</v>
      </c>
      <c r="M13" s="7">
        <f>$B13 * IFERROR(VLOOKUP("electricity|PM25|Non-fatal heart attacks", US_national_yearly!$D:$AM, 21, FALSE) / VLOOKUP("electricity|PM25|Non-fatal heart attacks", US_national_yearly!$D:$AM, 10, FALSE), 1)</f>
        <v>5.1697835156607735E-3</v>
      </c>
      <c r="N13" s="7">
        <f>$B13 * IFERROR(VLOOKUP("electricity|PM25|Non-fatal heart attacks", US_national_yearly!$D:$AM, 22, FALSE) / VLOOKUP("electricity|PM25|Non-fatal heart attacks", US_national_yearly!$D:$AM, 10, FALSE), 1)</f>
        <v>5.2284305117974552E-3</v>
      </c>
      <c r="O13" s="7">
        <f>$B13 * IFERROR(VLOOKUP("electricity|PM25|Non-fatal heart attacks", US_national_yearly!$D:$AM, 23, FALSE) / VLOOKUP("electricity|PM25|Non-fatal heart attacks", US_national_yearly!$D:$AM, 10, FALSE), 1)</f>
        <v>5.2870775079341369E-3</v>
      </c>
      <c r="P13" s="7">
        <f>$B13 * IFERROR(VLOOKUP("electricity|PM25|Non-fatal heart attacks", US_national_yearly!$D:$AM, 24, FALSE) / VLOOKUP("electricity|PM25|Non-fatal heart attacks", US_national_yearly!$D:$AM, 10, FALSE), 1)</f>
        <v>5.3457245040708186E-3</v>
      </c>
      <c r="Q13" s="7">
        <f>$B13 * IFERROR(VLOOKUP("electricity|PM25|Non-fatal heart attacks", US_national_yearly!$D:$AM, 25, FALSE) / VLOOKUP("electricity|PM25|Non-fatal heart attacks", US_national_yearly!$D:$AM, 10, FALSE), 1)</f>
        <v>5.4043715002075002E-3</v>
      </c>
      <c r="R13" s="7">
        <f>$B13 * IFERROR(VLOOKUP("electricity|PM25|Non-fatal heart attacks", US_national_yearly!$D:$AM, 26, FALSE) / VLOOKUP("electricity|PM25|Non-fatal heart attacks", US_national_yearly!$D:$AM, 10, FALSE), 1)</f>
        <v>5.4630184963441819E-3</v>
      </c>
      <c r="S13" s="7">
        <f>$B13 * IFERROR(VLOOKUP("electricity|PM25|Non-fatal heart attacks", US_national_yearly!$D:$AM, 27, FALSE) / VLOOKUP("electricity|PM25|Non-fatal heart attacks", US_national_yearly!$D:$AM, 10, FALSE), 1)</f>
        <v>5.4953051743705343E-3</v>
      </c>
      <c r="T13" s="7">
        <f>$B13 * IFERROR(VLOOKUP("electricity|PM25|Non-fatal heart attacks", US_national_yearly!$D:$AM, 28, FALSE) / VLOOKUP("electricity|PM25|Non-fatal heart attacks", US_national_yearly!$D:$AM, 10, FALSE), 1)</f>
        <v>5.5275918523968876E-3</v>
      </c>
      <c r="U13" s="7">
        <f>$B13 * IFERROR(VLOOKUP("electricity|PM25|Non-fatal heart attacks", US_national_yearly!$D:$AM, 29, FALSE) / VLOOKUP("electricity|PM25|Non-fatal heart attacks", US_national_yearly!$D:$AM, 10, FALSE), 1)</f>
        <v>5.5598785304232399E-3</v>
      </c>
      <c r="V13" s="7">
        <f>$B13 * IFERROR(VLOOKUP("electricity|PM25|Non-fatal heart attacks", US_national_yearly!$D:$AM, 30, FALSE) / VLOOKUP("electricity|PM25|Non-fatal heart attacks", US_national_yearly!$D:$AM, 10, FALSE), 1)</f>
        <v>5.5921652084495914E-3</v>
      </c>
      <c r="W13" s="7">
        <f>$B13 * IFERROR(VLOOKUP("electricity|PM25|Non-fatal heart attacks", US_national_yearly!$D:$AM, 31, FALSE) / VLOOKUP("electricity|PM25|Non-fatal heart attacks", US_national_yearly!$D:$AM, 10, FALSE), 1)</f>
        <v>5.6244518864759447E-3</v>
      </c>
      <c r="X13" s="7">
        <f>$B13 * IFERROR(VLOOKUP("electricity|PM25|Non-fatal heart attacks", US_national_yearly!$D:$AM, 32, FALSE) / VLOOKUP("electricity|PM25|Non-fatal heart attacks", US_national_yearly!$D:$AM, 10, FALSE), 1)</f>
        <v>5.6497102643597811E-3</v>
      </c>
      <c r="Y13" s="7">
        <f>$B13 * IFERROR(VLOOKUP("electricity|PM25|Non-fatal heart attacks", US_national_yearly!$D:$AM, 33, FALSE) / VLOOKUP("electricity|PM25|Non-fatal heart attacks", US_national_yearly!$D:$AM, 10, FALSE), 1)</f>
        <v>5.6749686422436175E-3</v>
      </c>
      <c r="Z13" s="7">
        <f>$B13 * IFERROR(VLOOKUP("electricity|PM25|Non-fatal heart attacks", US_national_yearly!$D:$AM, 34, FALSE) / VLOOKUP("electricity|PM25|Non-fatal heart attacks", US_national_yearly!$D:$AM, 10, FALSE), 1)</f>
        <v>5.7002270201274539E-3</v>
      </c>
      <c r="AA13" s="7">
        <f>$B13 * IFERROR(VLOOKUP("electricity|PM25|Non-fatal heart attacks", US_national_yearly!$D:$AM, 35, FALSE) / VLOOKUP("electricity|PM25|Non-fatal heart attacks", US_national_yearly!$D:$AM, 10, FALSE), 1)</f>
        <v>5.7254853980112912E-3</v>
      </c>
      <c r="AB13" s="7">
        <f>$B13 * IFERROR(VLOOKUP("electricity|PM25|Non-fatal heart attacks", US_national_yearly!$D:$AM, 36, FALSE) / VLOOKUP("electricity|PM25|Non-fatal heart attacks", US_national_yearly!$D:$AM, 10, FALSE), 1)</f>
        <v>5.7507437758951277E-3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3.4553029935293047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3.4629735339177543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3.4706440743062048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3.4783146146946544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3.4859851550831049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3.4973673482045489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3.5087495413259928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3.5288473949737176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3.5489452486214432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3.569043102269168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3.5891409559168936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3.6092388095646188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3.6371203288738423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3.6650018481830662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3.6928833674922905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3.7207648868015148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3.7486464061107383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3.7767684176616112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3.8048904292124832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3.8330124407633548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3.8611344523142277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3.8892564638650997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3.9133628976721426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3.937469331479186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3.9615757652862298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3.9856821990932723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4.0097886329003165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0.5855618560034167</v>
      </c>
      <c r="C15" s="7">
        <f>$B15 * IFERROR(VLOOKUP("electricity|PM25|Work loss days", US_national_yearly!$D:$AM, 11, FALSE) / VLOOKUP("electricity|PM25|Work loss days", US_national_yearly!$D:$AM, 10, FALSE), 1)</f>
        <v>0.58723747510270241</v>
      </c>
      <c r="D15" s="7">
        <f>$B15 * IFERROR(VLOOKUP("electricity|PM25|Work loss days", US_national_yearly!$D:$AM, 12, FALSE) / VLOOKUP("electricity|PM25|Work loss days", US_national_yearly!$D:$AM, 10, FALSE), 1)</f>
        <v>0.58891309420198823</v>
      </c>
      <c r="E15" s="7">
        <f>$B15 * IFERROR(VLOOKUP("electricity|PM25|Work loss days", US_national_yearly!$D:$AM, 13, FALSE) / VLOOKUP("electricity|PM25|Work loss days", US_national_yearly!$D:$AM, 10, FALSE), 1)</f>
        <v>0.59058871330127405</v>
      </c>
      <c r="F15" s="7">
        <f>$B15 * IFERROR(VLOOKUP("electricity|PM25|Work loss days", US_national_yearly!$D:$AM, 14, FALSE) / VLOOKUP("electricity|PM25|Work loss days", US_national_yearly!$D:$AM, 10, FALSE), 1)</f>
        <v>0.59226433240055976</v>
      </c>
      <c r="G15" s="7">
        <f>$B15 * IFERROR(VLOOKUP("electricity|PM25|Work loss days", US_national_yearly!$D:$AM, 15, FALSE) / VLOOKUP("electricity|PM25|Work loss days", US_national_yearly!$D:$AM, 10, FALSE), 1)</f>
        <v>0.59443501092603601</v>
      </c>
      <c r="H15" s="7">
        <f>$B15 * IFERROR(VLOOKUP("electricity|PM25|Work loss days", US_national_yearly!$D:$AM, 16, FALSE) / VLOOKUP("electricity|PM25|Work loss days", US_national_yearly!$D:$AM, 10, FALSE), 1)</f>
        <v>0.59660568945151238</v>
      </c>
      <c r="I15" s="7">
        <f>$B15 * IFERROR(VLOOKUP("electricity|PM25|Work loss days", US_national_yearly!$D:$AM, 17, FALSE) / VLOOKUP("electricity|PM25|Work loss days", US_national_yearly!$D:$AM, 10, FALSE), 1)</f>
        <v>0.59986893395140484</v>
      </c>
      <c r="J15" s="7">
        <f>$B15 * IFERROR(VLOOKUP("electricity|PM25|Work loss days", US_national_yearly!$D:$AM, 18, FALSE) / VLOOKUP("electricity|PM25|Work loss days", US_national_yearly!$D:$AM, 10, FALSE), 1)</f>
        <v>0.60313217845129719</v>
      </c>
      <c r="K15" s="7">
        <f>$B15 * IFERROR(VLOOKUP("electricity|PM25|Work loss days", US_national_yearly!$D:$AM, 19, FALSE) / VLOOKUP("electricity|PM25|Work loss days", US_national_yearly!$D:$AM, 10, FALSE), 1)</f>
        <v>0.60639542295118964</v>
      </c>
      <c r="L15" s="7">
        <f>$B15 * IFERROR(VLOOKUP("electricity|PM25|Work loss days", US_national_yearly!$D:$AM, 20, FALSE) / VLOOKUP("electricity|PM25|Work loss days", US_national_yearly!$D:$AM, 10, FALSE), 1)</f>
        <v>0.6096586674510821</v>
      </c>
      <c r="M15" s="7">
        <f>$B15 * IFERROR(VLOOKUP("electricity|PM25|Work loss days", US_national_yearly!$D:$AM, 21, FALSE) / VLOOKUP("electricity|PM25|Work loss days", US_national_yearly!$D:$AM, 10, FALSE), 1)</f>
        <v>0.61292191195097467</v>
      </c>
      <c r="N15" s="7">
        <f>$B15 * IFERROR(VLOOKUP("electricity|PM25|Work loss days", US_national_yearly!$D:$AM, 22, FALSE) / VLOOKUP("electricity|PM25|Work loss days", US_national_yearly!$D:$AM, 10, FALSE), 1)</f>
        <v>0.61713498714284798</v>
      </c>
      <c r="O15" s="7">
        <f>$B15 * IFERROR(VLOOKUP("electricity|PM25|Work loss days", US_national_yearly!$D:$AM, 23, FALSE) / VLOOKUP("electricity|PM25|Work loss days", US_national_yearly!$D:$AM, 10, FALSE), 1)</f>
        <v>0.6213480623347214</v>
      </c>
      <c r="P15" s="7">
        <f>$B15 * IFERROR(VLOOKUP("electricity|PM25|Work loss days", US_national_yearly!$D:$AM, 24, FALSE) / VLOOKUP("electricity|PM25|Work loss days", US_national_yearly!$D:$AM, 10, FALSE), 1)</f>
        <v>0.6255611375265947</v>
      </c>
      <c r="Q15" s="7">
        <f>$B15 * IFERROR(VLOOKUP("electricity|PM25|Work loss days", US_national_yearly!$D:$AM, 25, FALSE) / VLOOKUP("electricity|PM25|Work loss days", US_national_yearly!$D:$AM, 10, FALSE), 1)</f>
        <v>0.62977421271846801</v>
      </c>
      <c r="R15" s="7">
        <f>$B15 * IFERROR(VLOOKUP("electricity|PM25|Work loss days", US_national_yearly!$D:$AM, 26, FALSE) / VLOOKUP("electricity|PM25|Work loss days", US_national_yearly!$D:$AM, 10, FALSE), 1)</f>
        <v>0.63398728791034131</v>
      </c>
      <c r="S15" s="7">
        <f>$B15 * IFERROR(VLOOKUP("electricity|PM25|Work loss days", US_national_yearly!$D:$AM, 27, FALSE) / VLOOKUP("electricity|PM25|Work loss days", US_national_yearly!$D:$AM, 10, FALSE), 1)</f>
        <v>0.63866231367308868</v>
      </c>
      <c r="T15" s="7">
        <f>$B15 * IFERROR(VLOOKUP("electricity|PM25|Work loss days", US_national_yearly!$D:$AM, 28, FALSE) / VLOOKUP("electricity|PM25|Work loss days", US_national_yearly!$D:$AM, 10, FALSE), 1)</f>
        <v>0.64333733943583604</v>
      </c>
      <c r="U15" s="7">
        <f>$B15 * IFERROR(VLOOKUP("electricity|PM25|Work loss days", US_national_yearly!$D:$AM, 29, FALSE) / VLOOKUP("electricity|PM25|Work loss days", US_national_yearly!$D:$AM, 10, FALSE), 1)</f>
        <v>0.64801236519858352</v>
      </c>
      <c r="V15" s="7">
        <f>$B15 * IFERROR(VLOOKUP("electricity|PM25|Work loss days", US_national_yearly!$D:$AM, 30, FALSE) / VLOOKUP("electricity|PM25|Work loss days", US_national_yearly!$D:$AM, 10, FALSE), 1)</f>
        <v>0.65268739096133088</v>
      </c>
      <c r="W15" s="7">
        <f>$B15 * IFERROR(VLOOKUP("electricity|PM25|Work loss days", US_national_yearly!$D:$AM, 31, FALSE) / VLOOKUP("electricity|PM25|Work loss days", US_national_yearly!$D:$AM, 10, FALSE), 1)</f>
        <v>0.65736241672407814</v>
      </c>
      <c r="X15" s="7">
        <f>$B15 * IFERROR(VLOOKUP("electricity|PM25|Work loss days", US_national_yearly!$D:$AM, 32, FALSE) / VLOOKUP("electricity|PM25|Work loss days", US_national_yearly!$D:$AM, 10, FALSE), 1)</f>
        <v>0.66148655655066213</v>
      </c>
      <c r="Y15" s="7">
        <f>$B15 * IFERROR(VLOOKUP("electricity|PM25|Work loss days", US_national_yearly!$D:$AM, 33, FALSE) / VLOOKUP("electricity|PM25|Work loss days", US_national_yearly!$D:$AM, 10, FALSE), 1)</f>
        <v>0.66561069637724579</v>
      </c>
      <c r="Z15" s="7">
        <f>$B15 * IFERROR(VLOOKUP("electricity|PM25|Work loss days", US_national_yearly!$D:$AM, 34, FALSE) / VLOOKUP("electricity|PM25|Work loss days", US_national_yearly!$D:$AM, 10, FALSE), 1)</f>
        <v>0.66973483620382968</v>
      </c>
      <c r="AA15" s="7">
        <f>$B15 * IFERROR(VLOOKUP("electricity|PM25|Work loss days", US_national_yearly!$D:$AM, 35, FALSE) / VLOOKUP("electricity|PM25|Work loss days", US_national_yearly!$D:$AM, 10, FALSE), 1)</f>
        <v>0.67385897603041356</v>
      </c>
      <c r="AB15" s="7">
        <f>$B15 * IFERROR(VLOOKUP("electricity|PM25|Work loss days", US_national_yearly!$D:$AM, 36, FALSE) / VLOOKUP("electricity|PM25|Work loss days", US_national_yearly!$D:$AM, 10, FALSE), 1)</f>
        <v>0.67798311585699744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8.92614569736964E-4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9.1910282601411224E-4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9.4559108229126036E-4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9.7207933856840859E-4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9.9856759484555683E-4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1.0241154769311928E-3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1.0496633590168286E-3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1.0717949649211233E-3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1.0939265708254178E-3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1.1160581767297121E-3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1.1381897826340068E-3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1.1603213885383011E-3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1.1751987612989199E-3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1.1900761340595382E-3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1.2049535068201565E-3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1.2198308795807751E-3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1.2347082523413934E-3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1.2429190942265533E-3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1.2511299361117128E-3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1.2593407779968725E-3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1.2675516198820322E-3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1.2757624617671917E-3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1.2814907897278169E-3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1.2872191176884417E-3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1.2929474456490667E-3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1.2986757736096919E-3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1.3044041015703172E-3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7.7629276503871916E-4</v>
      </c>
      <c r="C2" s="7">
        <f>$B2 * IFERROR(VLOOKUP("electricity|NOx|Premature mortality", US_national_yearly!$D:$AM, 11, FALSE) / VLOOKUP("electricity|NOx|Premature mortality", US_national_yearly!$D:$AM, 10, FALSE), 1)</f>
        <v>7.8803856651630372E-4</v>
      </c>
      <c r="D2" s="7">
        <f>$B2 * IFERROR(VLOOKUP("electricity|NOx|Premature mortality", US_national_yearly!$D:$AM, 12, FALSE) / VLOOKUP("electricity|NOx|Premature mortality", US_national_yearly!$D:$AM, 10, FALSE), 1)</f>
        <v>7.997843679938884E-4</v>
      </c>
      <c r="E2" s="7">
        <f>$B2 * IFERROR(VLOOKUP("electricity|NOx|Premature mortality", US_national_yearly!$D:$AM, 13, FALSE) / VLOOKUP("electricity|NOx|Premature mortality", US_national_yearly!$D:$AM, 10, FALSE), 1)</f>
        <v>8.1153016947147286E-4</v>
      </c>
      <c r="F2" s="7">
        <f>$B2 * IFERROR(VLOOKUP("electricity|NOx|Premature mortality", US_national_yearly!$D:$AM, 14, FALSE) / VLOOKUP("electricity|NOx|Premature mortality", US_national_yearly!$D:$AM, 10, FALSE), 1)</f>
        <v>8.2327597094905742E-4</v>
      </c>
      <c r="G2" s="7">
        <f>$B2 * IFERROR(VLOOKUP("electricity|NOx|Premature mortality", US_national_yearly!$D:$AM, 15, FALSE) / VLOOKUP("electricity|NOx|Premature mortality", US_national_yearly!$D:$AM, 10, FALSE), 1)</f>
        <v>8.4425829826612032E-4</v>
      </c>
      <c r="H2" s="7">
        <f>$B2 * IFERROR(VLOOKUP("electricity|NOx|Premature mortality", US_national_yearly!$D:$AM, 16, FALSE) / VLOOKUP("electricity|NOx|Premature mortality", US_national_yearly!$D:$AM, 10, FALSE), 1)</f>
        <v>8.6524062558318311E-4</v>
      </c>
      <c r="I2" s="7">
        <f>$B2 * IFERROR(VLOOKUP("electricity|NOx|Premature mortality", US_national_yearly!$D:$AM, 17, FALSE) / VLOOKUP("electricity|NOx|Premature mortality", US_national_yearly!$D:$AM, 10, FALSE), 1)</f>
        <v>8.7918424393032026E-4</v>
      </c>
      <c r="J2" s="7">
        <f>$B2 * IFERROR(VLOOKUP("electricity|NOx|Premature mortality", US_national_yearly!$D:$AM, 18, FALSE) / VLOOKUP("electricity|NOx|Premature mortality", US_national_yearly!$D:$AM, 10, FALSE), 1)</f>
        <v>8.9312786227745751E-4</v>
      </c>
      <c r="K2" s="7">
        <f>$B2 * IFERROR(VLOOKUP("electricity|NOx|Premature mortality", US_national_yearly!$D:$AM, 19, FALSE) / VLOOKUP("electricity|NOx|Premature mortality", US_national_yearly!$D:$AM, 10, FALSE), 1)</f>
        <v>9.0707148062459466E-4</v>
      </c>
      <c r="L2" s="7">
        <f>$B2 * IFERROR(VLOOKUP("electricity|NOx|Premature mortality", US_national_yearly!$D:$AM, 20, FALSE) / VLOOKUP("electricity|NOx|Premature mortality", US_national_yearly!$D:$AM, 10, FALSE), 1)</f>
        <v>9.2101509897173181E-4</v>
      </c>
      <c r="M2" s="7">
        <f>$B2 * IFERROR(VLOOKUP("electricity|NOx|Premature mortality", US_national_yearly!$D:$AM, 21, FALSE) / VLOOKUP("electricity|NOx|Premature mortality", US_national_yearly!$D:$AM, 10, FALSE), 1)</f>
        <v>9.3495871731886897E-4</v>
      </c>
      <c r="N2" s="7">
        <f>$B2 * IFERROR(VLOOKUP("electricity|NOx|Premature mortality", US_national_yearly!$D:$AM, 22, FALSE) / VLOOKUP("electricity|NOx|Premature mortality", US_national_yearly!$D:$AM, 10, FALSE), 1)</f>
        <v>9.4571783082409398E-4</v>
      </c>
      <c r="O2" s="7">
        <f>$B2 * IFERROR(VLOOKUP("electricity|NOx|Premature mortality", US_national_yearly!$D:$AM, 23, FALSE) / VLOOKUP("electricity|NOx|Premature mortality", US_national_yearly!$D:$AM, 10, FALSE), 1)</f>
        <v>9.5647694432931943E-4</v>
      </c>
      <c r="P2" s="7">
        <f>$B2 * IFERROR(VLOOKUP("electricity|NOx|Premature mortality", US_national_yearly!$D:$AM, 24, FALSE) / VLOOKUP("electricity|NOx|Premature mortality", US_national_yearly!$D:$AM, 10, FALSE), 1)</f>
        <v>9.6723605783454445E-4</v>
      </c>
      <c r="Q2" s="7">
        <f>$B2 * IFERROR(VLOOKUP("electricity|NOx|Premature mortality", US_national_yearly!$D:$AM, 25, FALSE) / VLOOKUP("electricity|NOx|Premature mortality", US_national_yearly!$D:$AM, 10, FALSE), 1)</f>
        <v>9.7799517133976958E-4</v>
      </c>
      <c r="R2" s="7">
        <f>$B2 * IFERROR(VLOOKUP("electricity|NOx|Premature mortality", US_national_yearly!$D:$AM, 26, FALSE) / VLOOKUP("electricity|NOx|Premature mortality", US_national_yearly!$D:$AM, 10, FALSE), 1)</f>
        <v>9.8875428484499471E-4</v>
      </c>
      <c r="S2" s="7">
        <f>$B2 * IFERROR(VLOOKUP("electricity|NOx|Premature mortality", US_national_yearly!$D:$AM, 27, FALSE) / VLOOKUP("electricity|NOx|Premature mortality", US_national_yearly!$D:$AM, 10, FALSE), 1)</f>
        <v>9.9431396928481596E-4</v>
      </c>
      <c r="T2" s="7">
        <f>$B2 * IFERROR(VLOOKUP("electricity|NOx|Premature mortality", US_national_yearly!$D:$AM, 28, FALSE) / VLOOKUP("electricity|NOx|Premature mortality", US_national_yearly!$D:$AM, 10, FALSE), 1)</f>
        <v>9.99873653724637E-4</v>
      </c>
      <c r="U2" s="7">
        <f>$B2 * IFERROR(VLOOKUP("electricity|NOx|Premature mortality", US_national_yearly!$D:$AM, 29, FALSE) / VLOOKUP("electricity|NOx|Premature mortality", US_national_yearly!$D:$AM, 10, FALSE), 1)</f>
        <v>1.0054333381644587E-3</v>
      </c>
      <c r="V2" s="7">
        <f>$B2 * IFERROR(VLOOKUP("electricity|NOx|Premature mortality", US_national_yearly!$D:$AM, 30, FALSE) / VLOOKUP("electricity|NOx|Premature mortality", US_national_yearly!$D:$AM, 10, FALSE), 1)</f>
        <v>1.01099302260428E-3</v>
      </c>
      <c r="W2" s="7">
        <f>$B2 * IFERROR(VLOOKUP("electricity|NOx|Premature mortality", US_national_yearly!$D:$AM, 31, FALSE) / VLOOKUP("electricity|NOx|Premature mortality", US_national_yearly!$D:$AM, 10, FALSE), 1)</f>
        <v>1.016552707044101E-3</v>
      </c>
      <c r="X2" s="7">
        <f>$B2 * IFERROR(VLOOKUP("electricity|NOx|Premature mortality", US_national_yearly!$D:$AM, 32, FALSE) / VLOOKUP("electricity|NOx|Premature mortality", US_national_yearly!$D:$AM, 10, FALSE), 1)</f>
        <v>1.0178104803829787E-3</v>
      </c>
      <c r="Y2" s="7">
        <f>$B2 * IFERROR(VLOOKUP("electricity|NOx|Premature mortality", US_national_yearly!$D:$AM, 33, FALSE) / VLOOKUP("electricity|NOx|Premature mortality", US_national_yearly!$D:$AM, 10, FALSE), 1)</f>
        <v>1.0190682537218564E-3</v>
      </c>
      <c r="Z2" s="7">
        <f>$B2 * IFERROR(VLOOKUP("electricity|NOx|Premature mortality", US_national_yearly!$D:$AM, 34, FALSE) / VLOOKUP("electricity|NOx|Premature mortality", US_national_yearly!$D:$AM, 10, FALSE), 1)</f>
        <v>1.0203260270607339E-3</v>
      </c>
      <c r="AA2" s="7">
        <f>$B2 * IFERROR(VLOOKUP("electricity|NOx|Premature mortality", US_national_yearly!$D:$AM, 35, FALSE) / VLOOKUP("electricity|NOx|Premature mortality", US_national_yearly!$D:$AM, 10, FALSE), 1)</f>
        <v>1.0215838003996113E-3</v>
      </c>
      <c r="AB2" s="7">
        <f>$B2 * IFERROR(VLOOKUP("electricity|NOx|Premature mortality", US_national_yearly!$D:$AM, 36, FALSE) / VLOOKUP("electricity|NOx|Premature mortality", US_national_yearly!$D:$AM, 10, FALSE), 1)</f>
        <v>1.0228415737384888E-3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2.0053431518282966E-6</v>
      </c>
      <c r="C3" s="7">
        <f>$B3 * IFERROR(VLOOKUP("electricity|NOx|Infant mortality", US_national_yearly!$D:$AM, 11, FALSE) / VLOOKUP("electricity|NOx|Infant mortality", US_national_yearly!$D:$AM, 10, FALSE), 1)</f>
        <v>1.9865820208871164E-6</v>
      </c>
      <c r="D3" s="7">
        <f>$B3 * IFERROR(VLOOKUP("electricity|NOx|Infant mortality", US_national_yearly!$D:$AM, 12, FALSE) / VLOOKUP("electricity|NOx|Infant mortality", US_national_yearly!$D:$AM, 10, FALSE), 1)</f>
        <v>1.9678208899459358E-6</v>
      </c>
      <c r="E3" s="7">
        <f>$B3 * IFERROR(VLOOKUP("electricity|NOx|Infant mortality", US_national_yearly!$D:$AM, 13, FALSE) / VLOOKUP("electricity|NOx|Infant mortality", US_national_yearly!$D:$AM, 10, FALSE), 1)</f>
        <v>1.9490597590047556E-6</v>
      </c>
      <c r="F3" s="7">
        <f>$B3 * IFERROR(VLOOKUP("electricity|NOx|Infant mortality", US_national_yearly!$D:$AM, 14, FALSE) / VLOOKUP("electricity|NOx|Infant mortality", US_national_yearly!$D:$AM, 10, FALSE), 1)</f>
        <v>1.930298628063575E-6</v>
      </c>
      <c r="G3" s="7">
        <f>$B3 * IFERROR(VLOOKUP("electricity|NOx|Infant mortality", US_national_yearly!$D:$AM, 15, FALSE) / VLOOKUP("electricity|NOx|Infant mortality", US_national_yearly!$D:$AM, 10, FALSE), 1)</f>
        <v>1.2789184750634694E-6</v>
      </c>
      <c r="H3" s="7">
        <f>$B3 * IFERROR(VLOOKUP("electricity|NOx|Infant mortality", US_national_yearly!$D:$AM, 16, FALSE) / VLOOKUP("electricity|NOx|Infant mortality", US_national_yearly!$D:$AM, 10, FALSE), 1)</f>
        <v>6.2753832206336412E-7</v>
      </c>
      <c r="I3" s="7">
        <f>$B3 * IFERROR(VLOOKUP("electricity|NOx|Infant mortality", US_national_yearly!$D:$AM, 17, FALSE) / VLOOKUP("electricity|NOx|Infant mortality", US_national_yearly!$D:$AM, 10, FALSE), 1)</f>
        <v>6.2297452046186431E-7</v>
      </c>
      <c r="J3" s="7">
        <f>$B3 * IFERROR(VLOOKUP("electricity|NOx|Infant mortality", US_national_yearly!$D:$AM, 18, FALSE) / VLOOKUP("electricity|NOx|Infant mortality", US_national_yearly!$D:$AM, 10, FALSE), 1)</f>
        <v>6.184107188603644E-7</v>
      </c>
      <c r="K3" s="7">
        <f>$B3 * IFERROR(VLOOKUP("electricity|NOx|Infant mortality", US_national_yearly!$D:$AM, 19, FALSE) / VLOOKUP("electricity|NOx|Infant mortality", US_national_yearly!$D:$AM, 10, FALSE), 1)</f>
        <v>6.1384691725886459E-7</v>
      </c>
      <c r="L3" s="7">
        <f>$B3 * IFERROR(VLOOKUP("electricity|NOx|Infant mortality", US_national_yearly!$D:$AM, 20, FALSE) / VLOOKUP("electricity|NOx|Infant mortality", US_national_yearly!$D:$AM, 10, FALSE), 1)</f>
        <v>6.0928311565736468E-7</v>
      </c>
      <c r="M3" s="7">
        <f>$B3 * IFERROR(VLOOKUP("electricity|NOx|Infant mortality", US_national_yearly!$D:$AM, 21, FALSE) / VLOOKUP("electricity|NOx|Infant mortality", US_national_yearly!$D:$AM, 10, FALSE), 1)</f>
        <v>6.0471931405586477E-7</v>
      </c>
      <c r="N3" s="7">
        <f>$B3 * IFERROR(VLOOKUP("electricity|NOx|Infant mortality", US_national_yearly!$D:$AM, 22, FALSE) / VLOOKUP("electricity|NOx|Infant mortality", US_national_yearly!$D:$AM, 10, FALSE), 1)</f>
        <v>6.016546884968015E-7</v>
      </c>
      <c r="O3" s="7">
        <f>$B3 * IFERROR(VLOOKUP("electricity|NOx|Infant mortality", US_national_yearly!$D:$AM, 23, FALSE) / VLOOKUP("electricity|NOx|Infant mortality", US_national_yearly!$D:$AM, 10, FALSE), 1)</f>
        <v>5.9859006293773824E-7</v>
      </c>
      <c r="P3" s="7">
        <f>$B3 * IFERROR(VLOOKUP("electricity|NOx|Infant mortality", US_national_yearly!$D:$AM, 24, FALSE) / VLOOKUP("electricity|NOx|Infant mortality", US_national_yearly!$D:$AM, 10, FALSE), 1)</f>
        <v>5.9552543737867487E-7</v>
      </c>
      <c r="Q3" s="7">
        <f>$B3 * IFERROR(VLOOKUP("electricity|NOx|Infant mortality", US_national_yearly!$D:$AM, 25, FALSE) / VLOOKUP("electricity|NOx|Infant mortality", US_national_yearly!$D:$AM, 10, FALSE), 1)</f>
        <v>5.924608118196115E-7</v>
      </c>
      <c r="R3" s="7">
        <f>$B3 * IFERROR(VLOOKUP("electricity|NOx|Infant mortality", US_national_yearly!$D:$AM, 26, FALSE) / VLOOKUP("electricity|NOx|Infant mortality", US_national_yearly!$D:$AM, 10, FALSE), 1)</f>
        <v>5.8939618626054835E-7</v>
      </c>
      <c r="S3" s="7">
        <f>$B3 * IFERROR(VLOOKUP("electricity|NOx|Infant mortality", US_national_yearly!$D:$AM, 27, FALSE) / VLOOKUP("electricity|NOx|Infant mortality", US_national_yearly!$D:$AM, 10, FALSE), 1)</f>
        <v>5.8575794203434017E-7</v>
      </c>
      <c r="T3" s="7">
        <f>$B3 * IFERROR(VLOOKUP("electricity|NOx|Infant mortality", US_national_yearly!$D:$AM, 28, FALSE) / VLOOKUP("electricity|NOx|Infant mortality", US_national_yearly!$D:$AM, 10, FALSE), 1)</f>
        <v>5.8211969780813199E-7</v>
      </c>
      <c r="U3" s="7">
        <f>$B3 * IFERROR(VLOOKUP("electricity|NOx|Infant mortality", US_national_yearly!$D:$AM, 29, FALSE) / VLOOKUP("electricity|NOx|Infant mortality", US_national_yearly!$D:$AM, 10, FALSE), 1)</f>
        <v>5.7848145358192392E-7</v>
      </c>
      <c r="V3" s="7">
        <f>$B3 * IFERROR(VLOOKUP("electricity|NOx|Infant mortality", US_national_yearly!$D:$AM, 30, FALSE) / VLOOKUP("electricity|NOx|Infant mortality", US_national_yearly!$D:$AM, 10, FALSE), 1)</f>
        <v>5.7484320935571585E-7</v>
      </c>
      <c r="W3" s="7">
        <f>$B3 * IFERROR(VLOOKUP("electricity|NOx|Infant mortality", US_national_yearly!$D:$AM, 31, FALSE) / VLOOKUP("electricity|NOx|Infant mortality", US_national_yearly!$D:$AM, 10, FALSE), 1)</f>
        <v>5.7120496512950768E-7</v>
      </c>
      <c r="X3" s="7">
        <f>$B3 * IFERROR(VLOOKUP("electricity|NOx|Infant mortality", US_national_yearly!$D:$AM, 32, FALSE) / VLOOKUP("electricity|NOx|Infant mortality", US_national_yearly!$D:$AM, 10, FALSE), 1)</f>
        <v>5.674587582902681E-7</v>
      </c>
      <c r="Y3" s="7">
        <f>$B3 * IFERROR(VLOOKUP("electricity|NOx|Infant mortality", US_national_yearly!$D:$AM, 33, FALSE) / VLOOKUP("electricity|NOx|Infant mortality", US_national_yearly!$D:$AM, 10, FALSE), 1)</f>
        <v>5.6371255145102842E-7</v>
      </c>
      <c r="Z3" s="7">
        <f>$B3 * IFERROR(VLOOKUP("electricity|NOx|Infant mortality", US_national_yearly!$D:$AM, 34, FALSE) / VLOOKUP("electricity|NOx|Infant mortality", US_national_yearly!$D:$AM, 10, FALSE), 1)</f>
        <v>5.5996634461178885E-7</v>
      </c>
      <c r="AA3" s="7">
        <f>$B3 * IFERROR(VLOOKUP("electricity|NOx|Infant mortality", US_national_yearly!$D:$AM, 35, FALSE) / VLOOKUP("electricity|NOx|Infant mortality", US_national_yearly!$D:$AM, 10, FALSE), 1)</f>
        <v>5.5622013777254917E-7</v>
      </c>
      <c r="AB3" s="7">
        <f>$B3 * IFERROR(VLOOKUP("electricity|NOx|Infant mortality", US_national_yearly!$D:$AM, 36, FALSE) / VLOOKUP("electricity|NOx|Infant mortality", US_national_yearly!$D:$AM, 10, FALSE), 1)</f>
        <v>5.5247393093330949E-7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2.3727163566690129E-3</v>
      </c>
      <c r="C6" s="7">
        <f>$B6 * IFERROR(VLOOKUP("electricity|NOx|Asthma symptoms cough", US_national_yearly!$D:$AM, 11, FALSE) / VLOOKUP("electricity|NOx|Asthma symptoms cough", US_national_yearly!$D:$AM, 10, FALSE), 1)</f>
        <v>2.4052907411410262E-3</v>
      </c>
      <c r="D6" s="7">
        <f>$B6 * IFERROR(VLOOKUP("electricity|NOx|Asthma symptoms cough", US_national_yearly!$D:$AM, 12, FALSE) / VLOOKUP("electricity|NOx|Asthma symptoms cough", US_national_yearly!$D:$AM, 10, FALSE), 1)</f>
        <v>2.4378651256130399E-3</v>
      </c>
      <c r="E6" s="7">
        <f>$B6 * IFERROR(VLOOKUP("electricity|NOx|Asthma symptoms cough", US_national_yearly!$D:$AM, 13, FALSE) / VLOOKUP("electricity|NOx|Asthma symptoms cough", US_national_yearly!$D:$AM, 10, FALSE), 1)</f>
        <v>2.4704395100850532E-3</v>
      </c>
      <c r="F6" s="7">
        <f>$B6 * IFERROR(VLOOKUP("electricity|NOx|Asthma symptoms cough", US_national_yearly!$D:$AM, 14, FALSE) / VLOOKUP("electricity|NOx|Asthma symptoms cough", US_national_yearly!$D:$AM, 10, FALSE), 1)</f>
        <v>2.5030138945570661E-3</v>
      </c>
      <c r="G6" s="7">
        <f>$B6 * IFERROR(VLOOKUP("electricity|NOx|Asthma symptoms cough", US_national_yearly!$D:$AM, 15, FALSE) / VLOOKUP("electricity|NOx|Asthma symptoms cough", US_national_yearly!$D:$AM, 10, FALSE), 1)</f>
        <v>2.5294985962996627E-3</v>
      </c>
      <c r="H6" s="7">
        <f>$B6 * IFERROR(VLOOKUP("electricity|NOx|Asthma symptoms cough", US_national_yearly!$D:$AM, 16, FALSE) / VLOOKUP("electricity|NOx|Asthma symptoms cough", US_national_yearly!$D:$AM, 10, FALSE), 1)</f>
        <v>2.5559832980422592E-3</v>
      </c>
      <c r="I6" s="7">
        <f>$B6 * IFERROR(VLOOKUP("electricity|NOx|Asthma symptoms cough", US_national_yearly!$D:$AM, 17, FALSE) / VLOOKUP("electricity|NOx|Asthma symptoms cough", US_national_yearly!$D:$AM, 10, FALSE), 1)</f>
        <v>2.5658286692240321E-3</v>
      </c>
      <c r="J6" s="7">
        <f>$B6 * IFERROR(VLOOKUP("electricity|NOx|Asthma symptoms cough", US_national_yearly!$D:$AM, 18, FALSE) / VLOOKUP("electricity|NOx|Asthma symptoms cough", US_national_yearly!$D:$AM, 10, FALSE), 1)</f>
        <v>2.5756740404058055E-3</v>
      </c>
      <c r="K6" s="7">
        <f>$B6 * IFERROR(VLOOKUP("electricity|NOx|Asthma symptoms cough", US_national_yearly!$D:$AM, 19, FALSE) / VLOOKUP("electricity|NOx|Asthma symptoms cough", US_national_yearly!$D:$AM, 10, FALSE), 1)</f>
        <v>2.5855194115875788E-3</v>
      </c>
      <c r="L6" s="7">
        <f>$B6 * IFERROR(VLOOKUP("electricity|NOx|Asthma symptoms cough", US_national_yearly!$D:$AM, 20, FALSE) / VLOOKUP("electricity|NOx|Asthma symptoms cough", US_national_yearly!$D:$AM, 10, FALSE), 1)</f>
        <v>2.5953647827693517E-3</v>
      </c>
      <c r="M6" s="7">
        <f>$B6 * IFERROR(VLOOKUP("electricity|NOx|Asthma symptoms cough", US_national_yearly!$D:$AM, 21, FALSE) / VLOOKUP("electricity|NOx|Asthma symptoms cough", US_national_yearly!$D:$AM, 10, FALSE), 1)</f>
        <v>2.6052101539511254E-3</v>
      </c>
      <c r="N6" s="7">
        <f>$B6 * IFERROR(VLOOKUP("electricity|NOx|Asthma symptoms cough", US_national_yearly!$D:$AM, 22, FALSE) / VLOOKUP("electricity|NOx|Asthma symptoms cough", US_national_yearly!$D:$AM, 10, FALSE), 1)</f>
        <v>2.6161187432132489E-3</v>
      </c>
      <c r="O6" s="7">
        <f>$B6 * IFERROR(VLOOKUP("electricity|NOx|Asthma symptoms cough", US_national_yearly!$D:$AM, 23, FALSE) / VLOOKUP("electricity|NOx|Asthma symptoms cough", US_national_yearly!$D:$AM, 10, FALSE), 1)</f>
        <v>2.6270273324753737E-3</v>
      </c>
      <c r="P6" s="7">
        <f>$B6 * IFERROR(VLOOKUP("electricity|NOx|Asthma symptoms cough", US_national_yearly!$D:$AM, 24, FALSE) / VLOOKUP("electricity|NOx|Asthma symptoms cough", US_national_yearly!$D:$AM, 10, FALSE), 1)</f>
        <v>2.6379359217374972E-3</v>
      </c>
      <c r="Q6" s="7">
        <f>$B6 * IFERROR(VLOOKUP("electricity|NOx|Asthma symptoms cough", US_national_yearly!$D:$AM, 25, FALSE) / VLOOKUP("electricity|NOx|Asthma symptoms cough", US_national_yearly!$D:$AM, 10, FALSE), 1)</f>
        <v>2.6488445109996215E-3</v>
      </c>
      <c r="R6" s="7">
        <f>$B6 * IFERROR(VLOOKUP("electricity|NOx|Asthma symptoms cough", US_national_yearly!$D:$AM, 26, FALSE) / VLOOKUP("electricity|NOx|Asthma symptoms cough", US_national_yearly!$D:$AM, 10, FALSE), 1)</f>
        <v>2.6597531002617455E-3</v>
      </c>
      <c r="S6" s="7">
        <f>$B6 * IFERROR(VLOOKUP("electricity|NOx|Asthma symptoms cough", US_national_yearly!$D:$AM, 27, FALSE) / VLOOKUP("electricity|NOx|Asthma symptoms cough", US_national_yearly!$D:$AM, 10, FALSE), 1)</f>
        <v>2.6733625699153179E-3</v>
      </c>
      <c r="T6" s="7">
        <f>$B6 * IFERROR(VLOOKUP("electricity|NOx|Asthma symptoms cough", US_national_yearly!$D:$AM, 28, FALSE) / VLOOKUP("electricity|NOx|Asthma symptoms cough", US_national_yearly!$D:$AM, 10, FALSE), 1)</f>
        <v>2.68697203956889E-3</v>
      </c>
      <c r="U6" s="7">
        <f>$B6 * IFERROR(VLOOKUP("electricity|NOx|Asthma symptoms cough", US_national_yearly!$D:$AM, 29, FALSE) / VLOOKUP("electricity|NOx|Asthma symptoms cough", US_national_yearly!$D:$AM, 10, FALSE), 1)</f>
        <v>2.7005815092224629E-3</v>
      </c>
      <c r="V6" s="7">
        <f>$B6 * IFERROR(VLOOKUP("electricity|NOx|Asthma symptoms cough", US_national_yearly!$D:$AM, 30, FALSE) / VLOOKUP("electricity|NOx|Asthma symptoms cough", US_national_yearly!$D:$AM, 10, FALSE), 1)</f>
        <v>2.7141909788760345E-3</v>
      </c>
      <c r="W6" s="7">
        <f>$B6 * IFERROR(VLOOKUP("electricity|NOx|Asthma symptoms cough", US_national_yearly!$D:$AM, 31, FALSE) / VLOOKUP("electricity|NOx|Asthma symptoms cough", US_national_yearly!$D:$AM, 10, FALSE), 1)</f>
        <v>2.727800448529607E-3</v>
      </c>
      <c r="X6" s="7">
        <f>$B6 * IFERROR(VLOOKUP("electricity|NOx|Asthma symptoms cough", US_national_yearly!$D:$AM, 32, FALSE) / VLOOKUP("electricity|NOx|Asthma symptoms cough", US_national_yearly!$D:$AM, 10, FALSE), 1)</f>
        <v>2.7403389437670304E-3</v>
      </c>
      <c r="Y6" s="7">
        <f>$B6 * IFERROR(VLOOKUP("electricity|NOx|Asthma symptoms cough", US_national_yearly!$D:$AM, 33, FALSE) / VLOOKUP("electricity|NOx|Asthma symptoms cough", US_national_yearly!$D:$AM, 10, FALSE), 1)</f>
        <v>2.7528774390044547E-3</v>
      </c>
      <c r="Z6" s="7">
        <f>$B6 * IFERROR(VLOOKUP("electricity|NOx|Asthma symptoms cough", US_national_yearly!$D:$AM, 34, FALSE) / VLOOKUP("electricity|NOx|Asthma symptoms cough", US_national_yearly!$D:$AM, 10, FALSE), 1)</f>
        <v>2.765415934241879E-3</v>
      </c>
      <c r="AA6" s="7">
        <f>$B6 * IFERROR(VLOOKUP("electricity|NOx|Asthma symptoms cough", US_national_yearly!$D:$AM, 35, FALSE) / VLOOKUP("electricity|NOx|Asthma symptoms cough", US_national_yearly!$D:$AM, 10, FALSE), 1)</f>
        <v>2.7779544294793028E-3</v>
      </c>
      <c r="AB6" s="7">
        <f>$B6 * IFERROR(VLOOKUP("electricity|NOx|Asthma symptoms cough", US_national_yearly!$D:$AM, 36, FALSE) / VLOOKUP("electricity|NOx|Asthma symptoms cough", US_national_yearly!$D:$AM, 10, FALSE), 1)</f>
        <v>2.7904929247167271E-3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3.1951708057877878E-3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3.239036446025312E-3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3.282902086262837E-3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3.3267677265003612E-3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3.3706333667378853E-3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3.4062984580600993E-3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3.4419635493823132E-3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3.455221620531016E-3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3.4684796916797178E-3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3.4817377628284202E-3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3.4949958339771216E-3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3.5082539051258239E-3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3.5229437375525713E-3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3.5376335699793195E-3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3.5523234024060668E-3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3.567013234832815E-3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3.5817030672595624E-3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3.6000299860148182E-3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3.6183569047700736E-3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3.6366838235253299E-3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3.6550107422805853E-3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3.6733376610358416E-3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3.6902223736102724E-3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3.7071070861847038E-3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3.7239917987591342E-3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3.7408765113335651E-3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3.7577612239079964E-3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4.8818080753063415E-3</v>
      </c>
      <c r="C8" s="7">
        <f>$B8 * IFERROR(VLOOKUP("electricity|NOx|Asthma symptoms wheeze", US_national_yearly!$D:$AM, 11, FALSE) / VLOOKUP("electricity|NOx|Asthma symptoms wheeze", US_national_yearly!$D:$AM, 10, FALSE), 1)</f>
        <v>4.9488291048851076E-3</v>
      </c>
      <c r="D8" s="7">
        <f>$B8 * IFERROR(VLOOKUP("electricity|NOx|Asthma symptoms wheeze", US_national_yearly!$D:$AM, 12, FALSE) / VLOOKUP("electricity|NOx|Asthma symptoms wheeze", US_national_yearly!$D:$AM, 10, FALSE), 1)</f>
        <v>5.0158501344638728E-3</v>
      </c>
      <c r="E8" s="7">
        <f>$B8 * IFERROR(VLOOKUP("electricity|NOx|Asthma symptoms wheeze", US_national_yearly!$D:$AM, 13, FALSE) / VLOOKUP("electricity|NOx|Asthma symptoms wheeze", US_national_yearly!$D:$AM, 10, FALSE), 1)</f>
        <v>5.0828711640426389E-3</v>
      </c>
      <c r="F8" s="7">
        <f>$B8 * IFERROR(VLOOKUP("electricity|NOx|Asthma symptoms wheeze", US_national_yearly!$D:$AM, 14, FALSE) / VLOOKUP("electricity|NOx|Asthma symptoms wheeze", US_national_yearly!$D:$AM, 10, FALSE), 1)</f>
        <v>5.1498921936214059E-3</v>
      </c>
      <c r="G8" s="7">
        <f>$B8 * IFERROR(VLOOKUP("electricity|NOx|Asthma symptoms wheeze", US_national_yearly!$D:$AM, 15, FALSE) / VLOOKUP("electricity|NOx|Asthma symptoms wheeze", US_national_yearly!$D:$AM, 10, FALSE), 1)</f>
        <v>5.204383844261997E-3</v>
      </c>
      <c r="H8" s="7">
        <f>$B8 * IFERROR(VLOOKUP("electricity|NOx|Asthma symptoms wheeze", US_national_yearly!$D:$AM, 16, FALSE) / VLOOKUP("electricity|NOx|Asthma symptoms wheeze", US_national_yearly!$D:$AM, 10, FALSE), 1)</f>
        <v>5.2588754949025899E-3</v>
      </c>
      <c r="I8" s="7">
        <f>$B8 * IFERROR(VLOOKUP("electricity|NOx|Asthma symptoms wheeze", US_national_yearly!$D:$AM, 17, FALSE) / VLOOKUP("electricity|NOx|Asthma symptoms wheeze", US_national_yearly!$D:$AM, 10, FALSE), 1)</f>
        <v>5.2791321144160823E-3</v>
      </c>
      <c r="J8" s="7">
        <f>$B8 * IFERROR(VLOOKUP("electricity|NOx|Asthma symptoms wheeze", US_national_yearly!$D:$AM, 18, FALSE) / VLOOKUP("electricity|NOx|Asthma symptoms wheeze", US_national_yearly!$D:$AM, 10, FALSE), 1)</f>
        <v>5.2993887339295755E-3</v>
      </c>
      <c r="K8" s="7">
        <f>$B8 * IFERROR(VLOOKUP("electricity|NOx|Asthma symptoms wheeze", US_national_yearly!$D:$AM, 19, FALSE) / VLOOKUP("electricity|NOx|Asthma symptoms wheeze", US_national_yearly!$D:$AM, 10, FALSE), 1)</f>
        <v>5.3196453534430704E-3</v>
      </c>
      <c r="L8" s="7">
        <f>$B8 * IFERROR(VLOOKUP("electricity|NOx|Asthma symptoms wheeze", US_national_yearly!$D:$AM, 20, FALSE) / VLOOKUP("electricity|NOx|Asthma symptoms wheeze", US_national_yearly!$D:$AM, 10, FALSE), 1)</f>
        <v>5.3399019729565627E-3</v>
      </c>
      <c r="M8" s="7">
        <f>$B8 * IFERROR(VLOOKUP("electricity|NOx|Asthma symptoms wheeze", US_national_yearly!$D:$AM, 21, FALSE) / VLOOKUP("electricity|NOx|Asthma symptoms wheeze", US_national_yearly!$D:$AM, 10, FALSE), 1)</f>
        <v>5.3601585924700551E-3</v>
      </c>
      <c r="N8" s="7">
        <f>$B8 * IFERROR(VLOOKUP("electricity|NOx|Asthma symptoms wheeze", US_national_yearly!$D:$AM, 22, FALSE) / VLOOKUP("electricity|NOx|Asthma symptoms wheeze", US_national_yearly!$D:$AM, 10, FALSE), 1)</f>
        <v>5.3826027581654889E-3</v>
      </c>
      <c r="O8" s="7">
        <f>$B8 * IFERROR(VLOOKUP("electricity|NOx|Asthma symptoms wheeze", US_national_yearly!$D:$AM, 23, FALSE) / VLOOKUP("electricity|NOx|Asthma symptoms wheeze", US_national_yearly!$D:$AM, 10, FALSE), 1)</f>
        <v>5.4050469238609237E-3</v>
      </c>
      <c r="P8" s="7">
        <f>$B8 * IFERROR(VLOOKUP("electricity|NOx|Asthma symptoms wheeze", US_national_yearly!$D:$AM, 24, FALSE) / VLOOKUP("electricity|NOx|Asthma symptoms wheeze", US_national_yearly!$D:$AM, 10, FALSE), 1)</f>
        <v>5.4274910895563584E-3</v>
      </c>
      <c r="Q8" s="7">
        <f>$B8 * IFERROR(VLOOKUP("electricity|NOx|Asthma symptoms wheeze", US_national_yearly!$D:$AM, 25, FALSE) / VLOOKUP("electricity|NOx|Asthma symptoms wheeze", US_national_yearly!$D:$AM, 10, FALSE), 1)</f>
        <v>5.4499352552517923E-3</v>
      </c>
      <c r="R8" s="7">
        <f>$B8 * IFERROR(VLOOKUP("electricity|NOx|Asthma symptoms wheeze", US_national_yearly!$D:$AM, 26, FALSE) / VLOOKUP("electricity|NOx|Asthma symptoms wheeze", US_national_yearly!$D:$AM, 10, FALSE), 1)</f>
        <v>5.4723794209472253E-3</v>
      </c>
      <c r="S8" s="7">
        <f>$B8 * IFERROR(VLOOKUP("electricity|NOx|Asthma symptoms wheeze", US_national_yearly!$D:$AM, 27, FALSE) / VLOOKUP("electricity|NOx|Asthma symptoms wheeze", US_national_yearly!$D:$AM, 10, FALSE), 1)</f>
        <v>5.5003805844966273E-3</v>
      </c>
      <c r="T8" s="7">
        <f>$B8 * IFERROR(VLOOKUP("electricity|NOx|Asthma symptoms wheeze", US_national_yearly!$D:$AM, 28, FALSE) / VLOOKUP("electricity|NOx|Asthma symptoms wheeze", US_national_yearly!$D:$AM, 10, FALSE), 1)</f>
        <v>5.5283817480460285E-3</v>
      </c>
      <c r="U8" s="7">
        <f>$B8 * IFERROR(VLOOKUP("electricity|NOx|Asthma symptoms wheeze", US_national_yearly!$D:$AM, 29, FALSE) / VLOOKUP("electricity|NOx|Asthma symptoms wheeze", US_national_yearly!$D:$AM, 10, FALSE), 1)</f>
        <v>5.5563829115954288E-3</v>
      </c>
      <c r="V8" s="7">
        <f>$B8 * IFERROR(VLOOKUP("electricity|NOx|Asthma symptoms wheeze", US_national_yearly!$D:$AM, 30, FALSE) / VLOOKUP("electricity|NOx|Asthma symptoms wheeze", US_national_yearly!$D:$AM, 10, FALSE), 1)</f>
        <v>5.5843840751448309E-3</v>
      </c>
      <c r="W8" s="7">
        <f>$B8 * IFERROR(VLOOKUP("electricity|NOx|Asthma symptoms wheeze", US_national_yearly!$D:$AM, 31, FALSE) / VLOOKUP("electricity|NOx|Asthma symptoms wheeze", US_national_yearly!$D:$AM, 10, FALSE), 1)</f>
        <v>5.612385238694232E-3</v>
      </c>
      <c r="X8" s="7">
        <f>$B8 * IFERROR(VLOOKUP("electricity|NOx|Asthma symptoms wheeze", US_national_yearly!$D:$AM, 32, FALSE) / VLOOKUP("electricity|NOx|Asthma symptoms wheeze", US_national_yearly!$D:$AM, 10, FALSE), 1)</f>
        <v>5.6381828975806767E-3</v>
      </c>
      <c r="Y8" s="7">
        <f>$B8 * IFERROR(VLOOKUP("electricity|NOx|Asthma symptoms wheeze", US_national_yearly!$D:$AM, 33, FALSE) / VLOOKUP("electricity|NOx|Asthma symptoms wheeze", US_national_yearly!$D:$AM, 10, FALSE), 1)</f>
        <v>5.6639805564671231E-3</v>
      </c>
      <c r="Z8" s="7">
        <f>$B8 * IFERROR(VLOOKUP("electricity|NOx|Asthma symptoms wheeze", US_national_yearly!$D:$AM, 34, FALSE) / VLOOKUP("electricity|NOx|Asthma symptoms wheeze", US_national_yearly!$D:$AM, 10, FALSE), 1)</f>
        <v>5.6897782153535669E-3</v>
      </c>
      <c r="AA8" s="7">
        <f>$B8 * IFERROR(VLOOKUP("electricity|NOx|Asthma symptoms wheeze", US_national_yearly!$D:$AM, 35, FALSE) / VLOOKUP("electricity|NOx|Asthma symptoms wheeze", US_national_yearly!$D:$AM, 10, FALSE), 1)</f>
        <v>5.7155758742400134E-3</v>
      </c>
      <c r="AB8" s="7">
        <f>$B8 * IFERROR(VLOOKUP("electricity|NOx|Asthma symptoms wheeze", US_national_yearly!$D:$AM, 36, FALSE) / VLOOKUP("electricity|NOx|Asthma symptoms wheeze", US_national_yearly!$D:$AM, 10, FALSE), 1)</f>
        <v>5.741373533126458E-3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5.150476262265408E-5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5.2823885618589232E-5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5.414300861452439E-5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5.5462131610459535E-5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5.6781254606394674E-5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5.8051114010727485E-5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5.9320973415060309E-5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6.0412948033511087E-5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6.1504922651961857E-5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6.2596897270412655E-5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6.3688871888863425E-5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6.478084650731421E-5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6.5529190425363902E-5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6.6277534343413594E-5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6.7025878261463287E-5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6.7774222179512979E-5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6.8522566097562658E-5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6.8948771833450686E-5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6.9374977569338714E-5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6.9801183305226729E-5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7.0227389041114757E-5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7.0653594777002771E-5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7.0963593640550635E-5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7.1273592504098485E-5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7.1583591367646362E-5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7.1893590231194226E-5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7.220358909474209E-5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3.2434714737326529E-4</v>
      </c>
      <c r="C13" s="7">
        <f>$B13 * IFERROR(VLOOKUP("electricity|NOx|Non-fatal heart attacks", US_national_yearly!$D:$AM, 11, FALSE) / VLOOKUP("electricity|NOx|Non-fatal heart attacks", US_national_yearly!$D:$AM, 10, FALSE), 1)</f>
        <v>3.336550169428785E-4</v>
      </c>
      <c r="D13" s="7">
        <f>$B13 * IFERROR(VLOOKUP("electricity|NOx|Non-fatal heart attacks", US_national_yearly!$D:$AM, 12, FALSE) / VLOOKUP("electricity|NOx|Non-fatal heart attacks", US_national_yearly!$D:$AM, 10, FALSE), 1)</f>
        <v>3.4296288651249171E-4</v>
      </c>
      <c r="E13" s="7">
        <f>$B13 * IFERROR(VLOOKUP("electricity|NOx|Non-fatal heart attacks", US_national_yearly!$D:$AM, 13, FALSE) / VLOOKUP("electricity|NOx|Non-fatal heart attacks", US_national_yearly!$D:$AM, 10, FALSE), 1)</f>
        <v>3.5227075608210492E-4</v>
      </c>
      <c r="F13" s="7">
        <f>$B13 * IFERROR(VLOOKUP("electricity|NOx|Non-fatal heart attacks", US_national_yearly!$D:$AM, 14, FALSE) / VLOOKUP("electricity|NOx|Non-fatal heart attacks", US_national_yearly!$D:$AM, 10, FALSE), 1)</f>
        <v>3.6157862565171819E-4</v>
      </c>
      <c r="G13" s="7">
        <f>$B13 * IFERROR(VLOOKUP("electricity|NOx|Non-fatal heart attacks", US_national_yearly!$D:$AM, 15, FALSE) / VLOOKUP("electricity|NOx|Non-fatal heart attacks", US_national_yearly!$D:$AM, 10, FALSE), 1)</f>
        <v>3.7034699591385157E-4</v>
      </c>
      <c r="H13" s="7">
        <f>$B13 * IFERROR(VLOOKUP("electricity|NOx|Non-fatal heart attacks", US_national_yearly!$D:$AM, 16, FALSE) / VLOOKUP("electricity|NOx|Non-fatal heart attacks", US_national_yearly!$D:$AM, 10, FALSE), 1)</f>
        <v>3.791153661759849E-4</v>
      </c>
      <c r="I13" s="7">
        <f>$B13 * IFERROR(VLOOKUP("electricity|NOx|Non-fatal heart attacks", US_national_yearly!$D:$AM, 17, FALSE) / VLOOKUP("electricity|NOx|Non-fatal heart attacks", US_national_yearly!$D:$AM, 10, FALSE), 1)</f>
        <v>3.8614671203620232E-4</v>
      </c>
      <c r="J13" s="7">
        <f>$B13 * IFERROR(VLOOKUP("electricity|NOx|Non-fatal heart attacks", US_national_yearly!$D:$AM, 18, FALSE) / VLOOKUP("electricity|NOx|Non-fatal heart attacks", US_national_yearly!$D:$AM, 10, FALSE), 1)</f>
        <v>3.9317805789641975E-4</v>
      </c>
      <c r="K13" s="7">
        <f>$B13 * IFERROR(VLOOKUP("electricity|NOx|Non-fatal heart attacks", US_national_yearly!$D:$AM, 19, FALSE) / VLOOKUP("electricity|NOx|Non-fatal heart attacks", US_national_yearly!$D:$AM, 10, FALSE), 1)</f>
        <v>4.002094037566368E-4</v>
      </c>
      <c r="L13" s="7">
        <f>$B13 * IFERROR(VLOOKUP("electricity|NOx|Non-fatal heart attacks", US_national_yearly!$D:$AM, 20, FALSE) / VLOOKUP("electricity|NOx|Non-fatal heart attacks", US_national_yearly!$D:$AM, 10, FALSE), 1)</f>
        <v>4.0724074961685428E-4</v>
      </c>
      <c r="M13" s="7">
        <f>$B13 * IFERROR(VLOOKUP("electricity|NOx|Non-fatal heart attacks", US_national_yearly!$D:$AM, 21, FALSE) / VLOOKUP("electricity|NOx|Non-fatal heart attacks", US_national_yearly!$D:$AM, 10, FALSE), 1)</f>
        <v>4.1427209547707176E-4</v>
      </c>
      <c r="N13" s="7">
        <f>$B13 * IFERROR(VLOOKUP("electricity|NOx|Non-fatal heart attacks", US_national_yearly!$D:$AM, 22, FALSE) / VLOOKUP("electricity|NOx|Non-fatal heart attacks", US_national_yearly!$D:$AM, 10, FALSE), 1)</f>
        <v>4.1860847256249521E-4</v>
      </c>
      <c r="O13" s="7">
        <f>$B13 * IFERROR(VLOOKUP("electricity|NOx|Non-fatal heart attacks", US_national_yearly!$D:$AM, 23, FALSE) / VLOOKUP("electricity|NOx|Non-fatal heart attacks", US_national_yearly!$D:$AM, 10, FALSE), 1)</f>
        <v>4.2294484964791883E-4</v>
      </c>
      <c r="P13" s="7">
        <f>$B13 * IFERROR(VLOOKUP("electricity|NOx|Non-fatal heart attacks", US_national_yearly!$D:$AM, 24, FALSE) / VLOOKUP("electricity|NOx|Non-fatal heart attacks", US_national_yearly!$D:$AM, 10, FALSE), 1)</f>
        <v>4.2728122673334234E-4</v>
      </c>
      <c r="Q13" s="7">
        <f>$B13 * IFERROR(VLOOKUP("electricity|NOx|Non-fatal heart attacks", US_national_yearly!$D:$AM, 25, FALSE) / VLOOKUP("electricity|NOx|Non-fatal heart attacks", US_national_yearly!$D:$AM, 10, FALSE), 1)</f>
        <v>4.3161760381876585E-4</v>
      </c>
      <c r="R13" s="7">
        <f>$B13 * IFERROR(VLOOKUP("electricity|NOx|Non-fatal heart attacks", US_national_yearly!$D:$AM, 26, FALSE) / VLOOKUP("electricity|NOx|Non-fatal heart attacks", US_national_yearly!$D:$AM, 10, FALSE), 1)</f>
        <v>4.3595398090418935E-4</v>
      </c>
      <c r="S13" s="7">
        <f>$B13 * IFERROR(VLOOKUP("electricity|NOx|Non-fatal heart attacks", US_national_yearly!$D:$AM, 27, FALSE) / VLOOKUP("electricity|NOx|Non-fatal heart attacks", US_national_yearly!$D:$AM, 10, FALSE), 1)</f>
        <v>4.3807272030141293E-4</v>
      </c>
      <c r="T13" s="7">
        <f>$B13 * IFERROR(VLOOKUP("electricity|NOx|Non-fatal heart attacks", US_national_yearly!$D:$AM, 28, FALSE) / VLOOKUP("electricity|NOx|Non-fatal heart attacks", US_national_yearly!$D:$AM, 10, FALSE), 1)</f>
        <v>4.401914596986364E-4</v>
      </c>
      <c r="U13" s="7">
        <f>$B13 * IFERROR(VLOOKUP("electricity|NOx|Non-fatal heart attacks", US_national_yearly!$D:$AM, 29, FALSE) / VLOOKUP("electricity|NOx|Non-fatal heart attacks", US_national_yearly!$D:$AM, 10, FALSE), 1)</f>
        <v>4.4231019909586004E-4</v>
      </c>
      <c r="V13" s="7">
        <f>$B13 * IFERROR(VLOOKUP("electricity|NOx|Non-fatal heart attacks", US_national_yearly!$D:$AM, 30, FALSE) / VLOOKUP("electricity|NOx|Non-fatal heart attacks", US_national_yearly!$D:$AM, 10, FALSE), 1)</f>
        <v>4.4442893849308351E-4</v>
      </c>
      <c r="W13" s="7">
        <f>$B13 * IFERROR(VLOOKUP("electricity|NOx|Non-fatal heart attacks", US_national_yearly!$D:$AM, 31, FALSE) / VLOOKUP("electricity|NOx|Non-fatal heart attacks", US_national_yearly!$D:$AM, 10, FALSE), 1)</f>
        <v>4.4654767789030714E-4</v>
      </c>
      <c r="X13" s="7">
        <f>$B13 * IFERROR(VLOOKUP("electricity|NOx|Non-fatal heart attacks", US_national_yearly!$D:$AM, 32, FALSE) / VLOOKUP("electricity|NOx|Non-fatal heart attacks", US_national_yearly!$D:$AM, 10, FALSE), 1)</f>
        <v>4.4802650168380092E-4</v>
      </c>
      <c r="Y13" s="7">
        <f>$B13 * IFERROR(VLOOKUP("electricity|NOx|Non-fatal heart attacks", US_national_yearly!$D:$AM, 33, FALSE) / VLOOKUP("electricity|NOx|Non-fatal heart attacks", US_national_yearly!$D:$AM, 10, FALSE), 1)</f>
        <v>4.495053254772948E-4</v>
      </c>
      <c r="Z13" s="7">
        <f>$B13 * IFERROR(VLOOKUP("electricity|NOx|Non-fatal heart attacks", US_national_yearly!$D:$AM, 34, FALSE) / VLOOKUP("electricity|NOx|Non-fatal heart attacks", US_national_yearly!$D:$AM, 10, FALSE), 1)</f>
        <v>4.5098414927078852E-4</v>
      </c>
      <c r="AA13" s="7">
        <f>$B13 * IFERROR(VLOOKUP("electricity|NOx|Non-fatal heart attacks", US_national_yearly!$D:$AM, 35, FALSE) / VLOOKUP("electricity|NOx|Non-fatal heart attacks", US_national_yearly!$D:$AM, 10, FALSE), 1)</f>
        <v>4.524629730642823E-4</v>
      </c>
      <c r="AB13" s="7">
        <f>$B13 * IFERROR(VLOOKUP("electricity|NOx|Non-fatal heart attacks", US_national_yearly!$D:$AM, 36, FALSE) / VLOOKUP("electricity|NOx|Non-fatal heart attacks", US_national_yearly!$D:$AM, 10, FALSE), 1)</f>
        <v>4.5394179685777618E-4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0.2917771142131767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0.29222447223598458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0.2926718302587924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0.29311918828160027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0.2935665463044082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0.2943468950288714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0.29512724375333449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0.29667115842004693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0.29821507308675926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0.29975898775347176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0.30130290242018409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0.30284681708689654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0.30507944741521842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0.3073120777435403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0.30954470807186213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0.31177733840018401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0.31400996872850589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0.3162594829271953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0.31850899712588471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0.32075851132457417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0.32300802552326352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0.32525753972195293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0.32715996208574877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0.32906238444954439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0.33096480681334045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0.33286722917713624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0.33476965154093202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4.9463838009156158E-2</v>
      </c>
      <c r="C15" s="7">
        <f>$B15 * IFERROR(VLOOKUP("electricity|NOx|Work loss days", US_national_yearly!$D:$AM, 11, FALSE) / VLOOKUP("electricity|NOx|Work loss days", US_national_yearly!$D:$AM, 10, FALSE), 1)</f>
        <v>4.9574160046310191E-2</v>
      </c>
      <c r="D15" s="7">
        <f>$B15 * IFERROR(VLOOKUP("electricity|NOx|Work loss days", US_national_yearly!$D:$AM, 12, FALSE) / VLOOKUP("electricity|NOx|Work loss days", US_national_yearly!$D:$AM, 10, FALSE), 1)</f>
        <v>4.9684482083464231E-2</v>
      </c>
      <c r="E15" s="7">
        <f>$B15 * IFERROR(VLOOKUP("electricity|NOx|Work loss days", US_national_yearly!$D:$AM, 13, FALSE) / VLOOKUP("electricity|NOx|Work loss days", US_national_yearly!$D:$AM, 10, FALSE), 1)</f>
        <v>4.9794804120618263E-2</v>
      </c>
      <c r="F15" s="7">
        <f>$B15 * IFERROR(VLOOKUP("electricity|NOx|Work loss days", US_national_yearly!$D:$AM, 14, FALSE) / VLOOKUP("electricity|NOx|Work loss days", US_national_yearly!$D:$AM, 10, FALSE), 1)</f>
        <v>4.9905126157772303E-2</v>
      </c>
      <c r="G15" s="7">
        <f>$B15 * IFERROR(VLOOKUP("electricity|NOx|Work loss days", US_national_yearly!$D:$AM, 15, FALSE) / VLOOKUP("electricity|NOx|Work loss days", US_national_yearly!$D:$AM, 10, FALSE), 1)</f>
        <v>5.0060654939733759E-2</v>
      </c>
      <c r="H15" s="7">
        <f>$B15 * IFERROR(VLOOKUP("electricity|NOx|Work loss days", US_national_yearly!$D:$AM, 16, FALSE) / VLOOKUP("electricity|NOx|Work loss days", US_national_yearly!$D:$AM, 10, FALSE), 1)</f>
        <v>5.0216183721695201E-2</v>
      </c>
      <c r="I15" s="7">
        <f>$B15 * IFERROR(VLOOKUP("electricity|NOx|Work loss days", US_national_yearly!$D:$AM, 17, FALSE) / VLOOKUP("electricity|NOx|Work loss days", US_national_yearly!$D:$AM, 10, FALSE), 1)</f>
        <v>5.0468720712282117E-2</v>
      </c>
      <c r="J15" s="7">
        <f>$B15 * IFERROR(VLOOKUP("electricity|NOx|Work loss days", US_national_yearly!$D:$AM, 18, FALSE) / VLOOKUP("electricity|NOx|Work loss days", US_national_yearly!$D:$AM, 10, FALSE), 1)</f>
        <v>5.0721257702869026E-2</v>
      </c>
      <c r="K15" s="7">
        <f>$B15 * IFERROR(VLOOKUP("electricity|NOx|Work loss days", US_national_yearly!$D:$AM, 19, FALSE) / VLOOKUP("electricity|NOx|Work loss days", US_national_yearly!$D:$AM, 10, FALSE), 1)</f>
        <v>5.0973794693455934E-2</v>
      </c>
      <c r="L15" s="7">
        <f>$B15 * IFERROR(VLOOKUP("electricity|NOx|Work loss days", US_national_yearly!$D:$AM, 20, FALSE) / VLOOKUP("electricity|NOx|Work loss days", US_national_yearly!$D:$AM, 10, FALSE), 1)</f>
        <v>5.1226331684042836E-2</v>
      </c>
      <c r="M15" s="7">
        <f>$B15 * IFERROR(VLOOKUP("electricity|NOx|Work loss days", US_national_yearly!$D:$AM, 21, FALSE) / VLOOKUP("electricity|NOx|Work loss days", US_national_yearly!$D:$AM, 10, FALSE), 1)</f>
        <v>5.1478868674629738E-2</v>
      </c>
      <c r="N15" s="7">
        <f>$B15 * IFERROR(VLOOKUP("electricity|NOx|Work loss days", US_national_yearly!$D:$AM, 22, FALSE) / VLOOKUP("electricity|NOx|Work loss days", US_national_yearly!$D:$AM, 10, FALSE), 1)</f>
        <v>5.1812058167165873E-2</v>
      </c>
      <c r="O15" s="7">
        <f>$B15 * IFERROR(VLOOKUP("electricity|NOx|Work loss days", US_national_yearly!$D:$AM, 23, FALSE) / VLOOKUP("electricity|NOx|Work loss days", US_national_yearly!$D:$AM, 10, FALSE), 1)</f>
        <v>5.2145247659702E-2</v>
      </c>
      <c r="P15" s="7">
        <f>$B15 * IFERROR(VLOOKUP("electricity|NOx|Work loss days", US_national_yearly!$D:$AM, 24, FALSE) / VLOOKUP("electricity|NOx|Work loss days", US_national_yearly!$D:$AM, 10, FALSE), 1)</f>
        <v>5.2478437152238135E-2</v>
      </c>
      <c r="Q15" s="7">
        <f>$B15 * IFERROR(VLOOKUP("electricity|NOx|Work loss days", US_national_yearly!$D:$AM, 25, FALSE) / VLOOKUP("electricity|NOx|Work loss days", US_national_yearly!$D:$AM, 10, FALSE), 1)</f>
        <v>5.2811626644774269E-2</v>
      </c>
      <c r="R15" s="7">
        <f>$B15 * IFERROR(VLOOKUP("electricity|NOx|Work loss days", US_national_yearly!$D:$AM, 26, FALSE) / VLOOKUP("electricity|NOx|Work loss days", US_national_yearly!$D:$AM, 10, FALSE), 1)</f>
        <v>5.3144816137310383E-2</v>
      </c>
      <c r="S15" s="7">
        <f>$B15 * IFERROR(VLOOKUP("electricity|NOx|Work loss days", US_national_yearly!$D:$AM, 27, FALSE) / VLOOKUP("electricity|NOx|Work loss days", US_national_yearly!$D:$AM, 10, FALSE), 1)</f>
        <v>5.3518197392093847E-2</v>
      </c>
      <c r="T15" s="7">
        <f>$B15 * IFERROR(VLOOKUP("electricity|NOx|Work loss days", US_national_yearly!$D:$AM, 28, FALSE) / VLOOKUP("electricity|NOx|Work loss days", US_national_yearly!$D:$AM, 10, FALSE), 1)</f>
        <v>5.3891578646877297E-2</v>
      </c>
      <c r="U15" s="7">
        <f>$B15 * IFERROR(VLOOKUP("electricity|NOx|Work loss days", US_national_yearly!$D:$AM, 29, FALSE) / VLOOKUP("electricity|NOx|Work loss days", US_national_yearly!$D:$AM, 10, FALSE), 1)</f>
        <v>5.4264959901660748E-2</v>
      </c>
      <c r="V15" s="7">
        <f>$B15 * IFERROR(VLOOKUP("electricity|NOx|Work loss days", US_national_yearly!$D:$AM, 30, FALSE) / VLOOKUP("electricity|NOx|Work loss days", US_national_yearly!$D:$AM, 10, FALSE), 1)</f>
        <v>5.4638341156444198E-2</v>
      </c>
      <c r="W15" s="7">
        <f>$B15 * IFERROR(VLOOKUP("electricity|NOx|Work loss days", US_national_yearly!$D:$AM, 31, FALSE) / VLOOKUP("electricity|NOx|Work loss days", US_national_yearly!$D:$AM, 10, FALSE), 1)</f>
        <v>5.5011722411227655E-2</v>
      </c>
      <c r="X15" s="7">
        <f>$B15 * IFERROR(VLOOKUP("electricity|NOx|Work loss days", US_national_yearly!$D:$AM, 32, FALSE) / VLOOKUP("electricity|NOx|Work loss days", US_national_yearly!$D:$AM, 10, FALSE), 1)</f>
        <v>5.5337200467632228E-2</v>
      </c>
      <c r="Y15" s="7">
        <f>$B15 * IFERROR(VLOOKUP("electricity|NOx|Work loss days", US_national_yearly!$D:$AM, 33, FALSE) / VLOOKUP("electricity|NOx|Work loss days", US_national_yearly!$D:$AM, 10, FALSE), 1)</f>
        <v>5.5662678524036793E-2</v>
      </c>
      <c r="Z15" s="7">
        <f>$B15 * IFERROR(VLOOKUP("electricity|NOx|Work loss days", US_national_yearly!$D:$AM, 34, FALSE) / VLOOKUP("electricity|NOx|Work loss days", US_national_yearly!$D:$AM, 10, FALSE), 1)</f>
        <v>5.5988156580441366E-2</v>
      </c>
      <c r="AA15" s="7">
        <f>$B15 * IFERROR(VLOOKUP("electricity|NOx|Work loss days", US_national_yearly!$D:$AM, 35, FALSE) / VLOOKUP("electricity|NOx|Work loss days", US_national_yearly!$D:$AM, 10, FALSE), 1)</f>
        <v>5.6313634636845945E-2</v>
      </c>
      <c r="AB15" s="7">
        <f>$B15 * IFERROR(VLOOKUP("electricity|NOx|Work loss days", US_national_yearly!$D:$AM, 36, FALSE) / VLOOKUP("electricity|NOx|Work loss days", US_national_yearly!$D:$AM, 10, FALSE), 1)</f>
        <v>5.6639112693250518E-2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6.9776020985594397E-5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7.1831387656385505E-5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7.3886754327176626E-5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7.5942120997967734E-5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7.7997487668758856E-5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7.9965660841670093E-5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8.1933834014581331E-5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8.3613770853330685E-5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8.5293707692080066E-5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8.6973644530829447E-5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8.8653581369578814E-5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9.0333518208328181E-5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9.1411654841168076E-5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9.2489791474007971E-5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9.3567928106847866E-5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9.464606473968776E-5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9.5724201372527655E-5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9.6254771409760089E-5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9.6785341446992522E-5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9.7315911484224956E-5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9.7846481521457417E-5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9.837705155868985E-5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9.8695042334979546E-5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9.9013033111269256E-5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9.9331023887558952E-5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9.9649014663848661E-5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9.9967005440138357E-5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1.4057972518069727E-3</v>
      </c>
      <c r="C2" s="7">
        <f>$B2 * IFERROR(VLOOKUP("electricity|SO2|Premature mortality", US_national_yearly!$D:$AM, 11, FALSE) / VLOOKUP("electricity|SO2|Premature mortality", US_national_yearly!$D:$AM, 10, FALSE), 1)</f>
        <v>1.4238198969017185E-3</v>
      </c>
      <c r="D2" s="7">
        <f>$B2 * IFERROR(VLOOKUP("electricity|SO2|Premature mortality", US_national_yearly!$D:$AM, 12, FALSE) / VLOOKUP("electricity|SO2|Premature mortality", US_national_yearly!$D:$AM, 10, FALSE), 1)</f>
        <v>1.441842541996464E-3</v>
      </c>
      <c r="E2" s="7">
        <f>$B2 * IFERROR(VLOOKUP("electricity|SO2|Premature mortality", US_national_yearly!$D:$AM, 13, FALSE) / VLOOKUP("electricity|SO2|Premature mortality", US_national_yearly!$D:$AM, 10, FALSE), 1)</f>
        <v>1.45986518709121E-3</v>
      </c>
      <c r="F2" s="7">
        <f>$B2 * IFERROR(VLOOKUP("electricity|SO2|Premature mortality", US_national_yearly!$D:$AM, 14, FALSE) / VLOOKUP("electricity|SO2|Premature mortality", US_national_yearly!$D:$AM, 10, FALSE), 1)</f>
        <v>1.4778878321859556E-3</v>
      </c>
      <c r="G2" s="7">
        <f>$B2 * IFERROR(VLOOKUP("electricity|SO2|Premature mortality", US_national_yearly!$D:$AM, 15, FALSE) / VLOOKUP("electricity|SO2|Premature mortality", US_national_yearly!$D:$AM, 10, FALSE), 1)</f>
        <v>1.5126066754423452E-3</v>
      </c>
      <c r="H2" s="7">
        <f>$B2 * IFERROR(VLOOKUP("electricity|SO2|Premature mortality", US_national_yearly!$D:$AM, 16, FALSE) / VLOOKUP("electricity|SO2|Premature mortality", US_national_yearly!$D:$AM, 10, FALSE), 1)</f>
        <v>1.5473255186987344E-3</v>
      </c>
      <c r="I2" s="7">
        <f>$B2 * IFERROR(VLOOKUP("electricity|SO2|Premature mortality", US_national_yearly!$D:$AM, 17, FALSE) / VLOOKUP("electricity|SO2|Premature mortality", US_national_yearly!$D:$AM, 10, FALSE), 1)</f>
        <v>1.5706960954531804E-3</v>
      </c>
      <c r="J2" s="7">
        <f>$B2 * IFERROR(VLOOKUP("electricity|SO2|Premature mortality", US_national_yearly!$D:$AM, 18, FALSE) / VLOOKUP("electricity|SO2|Premature mortality", US_national_yearly!$D:$AM, 10, FALSE), 1)</f>
        <v>1.5940666722076265E-3</v>
      </c>
      <c r="K2" s="7">
        <f>$B2 * IFERROR(VLOOKUP("electricity|SO2|Premature mortality", US_national_yearly!$D:$AM, 19, FALSE) / VLOOKUP("electricity|SO2|Premature mortality", US_national_yearly!$D:$AM, 10, FALSE), 1)</f>
        <v>1.6174372489620723E-3</v>
      </c>
      <c r="L2" s="7">
        <f>$B2 * IFERROR(VLOOKUP("electricity|SO2|Premature mortality", US_national_yearly!$D:$AM, 20, FALSE) / VLOOKUP("electricity|SO2|Premature mortality", US_national_yearly!$D:$AM, 10, FALSE), 1)</f>
        <v>1.6408078257165186E-3</v>
      </c>
      <c r="M2" s="7">
        <f>$B2 * IFERROR(VLOOKUP("electricity|SO2|Premature mortality", US_national_yearly!$D:$AM, 21, FALSE) / VLOOKUP("electricity|SO2|Premature mortality", US_national_yearly!$D:$AM, 10, FALSE), 1)</f>
        <v>1.6641784024709644E-3</v>
      </c>
      <c r="N2" s="7">
        <f>$B2 * IFERROR(VLOOKUP("electricity|SO2|Premature mortality", US_national_yearly!$D:$AM, 22, FALSE) / VLOOKUP("electricity|SO2|Premature mortality", US_national_yearly!$D:$AM, 10, FALSE), 1)</f>
        <v>1.6829080570027947E-3</v>
      </c>
      <c r="O2" s="7">
        <f>$B2 * IFERROR(VLOOKUP("electricity|SO2|Premature mortality", US_national_yearly!$D:$AM, 23, FALSE) / VLOOKUP("electricity|SO2|Premature mortality", US_national_yearly!$D:$AM, 10, FALSE), 1)</f>
        <v>1.7016377115346255E-3</v>
      </c>
      <c r="P2" s="7">
        <f>$B2 * IFERROR(VLOOKUP("electricity|SO2|Premature mortality", US_national_yearly!$D:$AM, 24, FALSE) / VLOOKUP("electricity|SO2|Premature mortality", US_national_yearly!$D:$AM, 10, FALSE), 1)</f>
        <v>1.7203673660664556E-3</v>
      </c>
      <c r="Q2" s="7">
        <f>$B2 * IFERROR(VLOOKUP("electricity|SO2|Premature mortality", US_national_yearly!$D:$AM, 25, FALSE) / VLOOKUP("electricity|SO2|Premature mortality", US_national_yearly!$D:$AM, 10, FALSE), 1)</f>
        <v>1.7390970205982859E-3</v>
      </c>
      <c r="R2" s="7">
        <f>$B2 * IFERROR(VLOOKUP("electricity|SO2|Premature mortality", US_national_yearly!$D:$AM, 26, FALSE) / VLOOKUP("electricity|SO2|Premature mortality", US_national_yearly!$D:$AM, 10, FALSE), 1)</f>
        <v>1.7578266751301162E-3</v>
      </c>
      <c r="S2" s="7">
        <f>$B2 * IFERROR(VLOOKUP("electricity|SO2|Premature mortality", US_national_yearly!$D:$AM, 27, FALSE) / VLOOKUP("electricity|SO2|Premature mortality", US_national_yearly!$D:$AM, 10, FALSE), 1)</f>
        <v>1.7685649331579116E-3</v>
      </c>
      <c r="T2" s="7">
        <f>$B2 * IFERROR(VLOOKUP("electricity|SO2|Premature mortality", US_national_yearly!$D:$AM, 28, FALSE) / VLOOKUP("electricity|SO2|Premature mortality", US_national_yearly!$D:$AM, 10, FALSE), 1)</f>
        <v>1.7793031911857075E-3</v>
      </c>
      <c r="U2" s="7">
        <f>$B2 * IFERROR(VLOOKUP("electricity|SO2|Premature mortality", US_national_yearly!$D:$AM, 29, FALSE) / VLOOKUP("electricity|SO2|Premature mortality", US_national_yearly!$D:$AM, 10, FALSE), 1)</f>
        <v>1.790041449213503E-3</v>
      </c>
      <c r="V2" s="7">
        <f>$B2 * IFERROR(VLOOKUP("electricity|SO2|Premature mortality", US_national_yearly!$D:$AM, 30, FALSE) / VLOOKUP("electricity|SO2|Premature mortality", US_national_yearly!$D:$AM, 10, FALSE), 1)</f>
        <v>1.8007797072412989E-3</v>
      </c>
      <c r="W2" s="7">
        <f>$B2 * IFERROR(VLOOKUP("electricity|SO2|Premature mortality", US_national_yearly!$D:$AM, 31, FALSE) / VLOOKUP("electricity|SO2|Premature mortality", US_national_yearly!$D:$AM, 10, FALSE), 1)</f>
        <v>1.8115179652690944E-3</v>
      </c>
      <c r="X2" s="7">
        <f>$B2 * IFERROR(VLOOKUP("electricity|SO2|Premature mortality", US_national_yearly!$D:$AM, 32, FALSE) / VLOOKUP("electricity|SO2|Premature mortality", US_national_yearly!$D:$AM, 10, FALSE), 1)</f>
        <v>1.8146819464826928E-3</v>
      </c>
      <c r="Y2" s="7">
        <f>$B2 * IFERROR(VLOOKUP("electricity|SO2|Premature mortality", US_national_yearly!$D:$AM, 33, FALSE) / VLOOKUP("electricity|SO2|Premature mortality", US_national_yearly!$D:$AM, 10, FALSE), 1)</f>
        <v>1.8178459276962911E-3</v>
      </c>
      <c r="Z2" s="7">
        <f>$B2 * IFERROR(VLOOKUP("electricity|SO2|Premature mortality", US_national_yearly!$D:$AM, 34, FALSE) / VLOOKUP("electricity|SO2|Premature mortality", US_national_yearly!$D:$AM, 10, FALSE), 1)</f>
        <v>1.8210099089098891E-3</v>
      </c>
      <c r="AA2" s="7">
        <f>$B2 * IFERROR(VLOOKUP("electricity|SO2|Premature mortality", US_national_yearly!$D:$AM, 35, FALSE) / VLOOKUP("electricity|SO2|Premature mortality", US_national_yearly!$D:$AM, 10, FALSE), 1)</f>
        <v>1.8241738901234876E-3</v>
      </c>
      <c r="AB2" s="7">
        <f>$B2 * IFERROR(VLOOKUP("electricity|SO2|Premature mortality", US_national_yearly!$D:$AM, 36, FALSE) / VLOOKUP("electricity|SO2|Premature mortality", US_national_yearly!$D:$AM, 10, FALSE), 1)</f>
        <v>1.8273378713370857E-3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3.6327673228121111E-6</v>
      </c>
      <c r="C3" s="7">
        <f>$B3 * IFERROR(VLOOKUP("electricity|SO2|Infant mortality", US_national_yearly!$D:$AM, 11, FALSE) / VLOOKUP("electricity|SO2|Infant mortality", US_national_yearly!$D:$AM, 10, FALSE), 1)</f>
        <v>3.6020773461521872E-6</v>
      </c>
      <c r="D3" s="7">
        <f>$B3 * IFERROR(VLOOKUP("electricity|SO2|Infant mortality", US_national_yearly!$D:$AM, 12, FALSE) / VLOOKUP("electricity|SO2|Infant mortality", US_national_yearly!$D:$AM, 10, FALSE), 1)</f>
        <v>3.5713873694922626E-6</v>
      </c>
      <c r="E3" s="7">
        <f>$B3 * IFERROR(VLOOKUP("electricity|SO2|Infant mortality", US_national_yearly!$D:$AM, 13, FALSE) / VLOOKUP("electricity|SO2|Infant mortality", US_national_yearly!$D:$AM, 10, FALSE), 1)</f>
        <v>3.5406973928323383E-6</v>
      </c>
      <c r="F3" s="7">
        <f>$B3 * IFERROR(VLOOKUP("electricity|SO2|Infant mortality", US_national_yearly!$D:$AM, 14, FALSE) / VLOOKUP("electricity|SO2|Infant mortality", US_national_yearly!$D:$AM, 10, FALSE), 1)</f>
        <v>3.5100074161724149E-6</v>
      </c>
      <c r="G3" s="7">
        <f>$B3 * IFERROR(VLOOKUP("electricity|SO2|Infant mortality", US_national_yearly!$D:$AM, 15, FALSE) / VLOOKUP("electricity|SO2|Infant mortality", US_national_yearly!$D:$AM, 10, FALSE), 1)</f>
        <v>2.3343367545851777E-6</v>
      </c>
      <c r="H3" s="7">
        <f>$B3 * IFERROR(VLOOKUP("electricity|SO2|Infant mortality", US_national_yearly!$D:$AM, 16, FALSE) / VLOOKUP("electricity|SO2|Infant mortality", US_national_yearly!$D:$AM, 10, FALSE), 1)</f>
        <v>1.158666092997941E-6</v>
      </c>
      <c r="I3" s="7">
        <f>$B3 * IFERROR(VLOOKUP("electricity|SO2|Infant mortality", US_national_yearly!$D:$AM, 17, FALSE) / VLOOKUP("electricity|SO2|Infant mortality", US_national_yearly!$D:$AM, 10, FALSE), 1)</f>
        <v>1.1512535491002733E-6</v>
      </c>
      <c r="J3" s="7">
        <f>$B3 * IFERROR(VLOOKUP("electricity|SO2|Infant mortality", US_national_yearly!$D:$AM, 18, FALSE) / VLOOKUP("electricity|SO2|Infant mortality", US_national_yearly!$D:$AM, 10, FALSE), 1)</f>
        <v>1.1438410052026054E-6</v>
      </c>
      <c r="K3" s="7">
        <f>$B3 * IFERROR(VLOOKUP("electricity|SO2|Infant mortality", US_national_yearly!$D:$AM, 19, FALSE) / VLOOKUP("electricity|SO2|Infant mortality", US_national_yearly!$D:$AM, 10, FALSE), 1)</f>
        <v>1.1364284613049378E-6</v>
      </c>
      <c r="L3" s="7">
        <f>$B3 * IFERROR(VLOOKUP("electricity|SO2|Infant mortality", US_national_yearly!$D:$AM, 20, FALSE) / VLOOKUP("electricity|SO2|Infant mortality", US_national_yearly!$D:$AM, 10, FALSE), 1)</f>
        <v>1.1290159174072699E-6</v>
      </c>
      <c r="M3" s="7">
        <f>$B3 * IFERROR(VLOOKUP("electricity|SO2|Infant mortality", US_national_yearly!$D:$AM, 21, FALSE) / VLOOKUP("electricity|SO2|Infant mortality", US_national_yearly!$D:$AM, 10, FALSE), 1)</f>
        <v>1.1216033735096022E-6</v>
      </c>
      <c r="N3" s="7">
        <f>$B3 * IFERROR(VLOOKUP("electricity|SO2|Infant mortality", US_national_yearly!$D:$AM, 22, FALSE) / VLOOKUP("electricity|SO2|Infant mortality", US_national_yearly!$D:$AM, 10, FALSE), 1)</f>
        <v>1.1169064572237627E-6</v>
      </c>
      <c r="O3" s="7">
        <f>$B3 * IFERROR(VLOOKUP("electricity|SO2|Infant mortality", US_national_yearly!$D:$AM, 23, FALSE) / VLOOKUP("electricity|SO2|Infant mortality", US_national_yearly!$D:$AM, 10, FALSE), 1)</f>
        <v>1.1122095409379232E-6</v>
      </c>
      <c r="P3" s="7">
        <f>$B3 * IFERROR(VLOOKUP("electricity|SO2|Infant mortality", US_national_yearly!$D:$AM, 24, FALSE) / VLOOKUP("electricity|SO2|Infant mortality", US_national_yearly!$D:$AM, 10, FALSE), 1)</f>
        <v>1.1075126246520835E-6</v>
      </c>
      <c r="Q3" s="7">
        <f>$B3 * IFERROR(VLOOKUP("electricity|SO2|Infant mortality", US_national_yearly!$D:$AM, 25, FALSE) / VLOOKUP("electricity|SO2|Infant mortality", US_national_yearly!$D:$AM, 10, FALSE), 1)</f>
        <v>1.102815708366244E-6</v>
      </c>
      <c r="R3" s="7">
        <f>$B3 * IFERROR(VLOOKUP("electricity|SO2|Infant mortality", US_national_yearly!$D:$AM, 26, FALSE) / VLOOKUP("electricity|SO2|Infant mortality", US_national_yearly!$D:$AM, 10, FALSE), 1)</f>
        <v>1.0981187920804047E-6</v>
      </c>
      <c r="S3" s="7">
        <f>$B3 * IFERROR(VLOOKUP("electricity|SO2|Infant mortality", US_national_yearly!$D:$AM, 27, FALSE) / VLOOKUP("electricity|SO2|Infant mortality", US_national_yearly!$D:$AM, 10, FALSE), 1)</f>
        <v>1.0922646810802072E-6</v>
      </c>
      <c r="T3" s="7">
        <f>$B3 * IFERROR(VLOOKUP("electricity|SO2|Infant mortality", US_national_yearly!$D:$AM, 28, FALSE) / VLOOKUP("electricity|SO2|Infant mortality", US_national_yearly!$D:$AM, 10, FALSE), 1)</f>
        <v>1.0864105700800102E-6</v>
      </c>
      <c r="U3" s="7">
        <f>$B3 * IFERROR(VLOOKUP("electricity|SO2|Infant mortality", US_national_yearly!$D:$AM, 29, FALSE) / VLOOKUP("electricity|SO2|Infant mortality", US_national_yearly!$D:$AM, 10, FALSE), 1)</f>
        <v>1.080556459079813E-6</v>
      </c>
      <c r="V3" s="7">
        <f>$B3 * IFERROR(VLOOKUP("electricity|SO2|Infant mortality", US_national_yearly!$D:$AM, 30, FALSE) / VLOOKUP("electricity|SO2|Infant mortality", US_national_yearly!$D:$AM, 10, FALSE), 1)</f>
        <v>1.0747023480796159E-6</v>
      </c>
      <c r="W3" s="7">
        <f>$B3 * IFERROR(VLOOKUP("electricity|SO2|Infant mortality", US_national_yearly!$D:$AM, 31, FALSE) / VLOOKUP("electricity|SO2|Infant mortality", US_national_yearly!$D:$AM, 10, FALSE), 1)</f>
        <v>1.0688482370794187E-6</v>
      </c>
      <c r="X3" s="7">
        <f>$B3 * IFERROR(VLOOKUP("electricity|SO2|Infant mortality", US_national_yearly!$D:$AM, 32, FALSE) / VLOOKUP("electricity|SO2|Infant mortality", US_national_yearly!$D:$AM, 10, FALSE), 1)</f>
        <v>1.0626020720735084E-6</v>
      </c>
      <c r="Y3" s="7">
        <f>$B3 * IFERROR(VLOOKUP("electricity|SO2|Infant mortality", US_national_yearly!$D:$AM, 33, FALSE) / VLOOKUP("electricity|SO2|Infant mortality", US_national_yearly!$D:$AM, 10, FALSE), 1)</f>
        <v>1.0563559070675977E-6</v>
      </c>
      <c r="Z3" s="7">
        <f>$B3 * IFERROR(VLOOKUP("electricity|SO2|Infant mortality", US_national_yearly!$D:$AM, 34, FALSE) / VLOOKUP("electricity|SO2|Infant mortality", US_national_yearly!$D:$AM, 10, FALSE), 1)</f>
        <v>1.0501097420616876E-6</v>
      </c>
      <c r="AA3" s="7">
        <f>$B3 * IFERROR(VLOOKUP("electricity|SO2|Infant mortality", US_national_yearly!$D:$AM, 35, FALSE) / VLOOKUP("electricity|SO2|Infant mortality", US_national_yearly!$D:$AM, 10, FALSE), 1)</f>
        <v>1.0438635770557773E-6</v>
      </c>
      <c r="AB3" s="7">
        <f>$B3 * IFERROR(VLOOKUP("electricity|SO2|Infant mortality", US_national_yearly!$D:$AM, 36, FALSE) / VLOOKUP("electricity|SO2|Infant mortality", US_national_yearly!$D:$AM, 10, FALSE), 1)</f>
        <v>1.0376174120498668E-6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4.2826314500590728E-3</v>
      </c>
      <c r="C6" s="7">
        <f>$B6 * IFERROR(VLOOKUP("electricity|SO2|Asthma symptoms cough", US_national_yearly!$D:$AM, 11, FALSE) / VLOOKUP("electricity|SO2|Asthma symptoms cough", US_national_yearly!$D:$AM, 10, FALSE), 1)</f>
        <v>4.2826314500590728E-3</v>
      </c>
      <c r="D6" s="7">
        <f>$B6 * IFERROR(VLOOKUP("electricity|SO2|Asthma symptoms cough", US_national_yearly!$D:$AM, 12, FALSE) / VLOOKUP("electricity|SO2|Asthma symptoms cough", US_national_yearly!$D:$AM, 10, FALSE), 1)</f>
        <v>4.2826314500590728E-3</v>
      </c>
      <c r="E6" s="7">
        <f>$B6 * IFERROR(VLOOKUP("electricity|SO2|Asthma symptoms cough", US_national_yearly!$D:$AM, 13, FALSE) / VLOOKUP("electricity|SO2|Asthma symptoms cough", US_national_yearly!$D:$AM, 10, FALSE), 1)</f>
        <v>4.2826314500590728E-3</v>
      </c>
      <c r="F6" s="7">
        <f>$B6 * IFERROR(VLOOKUP("electricity|SO2|Asthma symptoms cough", US_national_yearly!$D:$AM, 14, FALSE) / VLOOKUP("electricity|SO2|Asthma symptoms cough", US_national_yearly!$D:$AM, 10, FALSE), 1)</f>
        <v>4.2826314500590728E-3</v>
      </c>
      <c r="G6" s="7">
        <f>$B6 * IFERROR(VLOOKUP("electricity|SO2|Asthma symptoms cough", US_national_yearly!$D:$AM, 15, FALSE) / VLOOKUP("electricity|SO2|Asthma symptoms cough", US_national_yearly!$D:$AM, 10, FALSE), 1)</f>
        <v>4.2826314500590728E-3</v>
      </c>
      <c r="H6" s="7">
        <f>$B6 * IFERROR(VLOOKUP("electricity|SO2|Asthma symptoms cough", US_national_yearly!$D:$AM, 16, FALSE) / VLOOKUP("electricity|SO2|Asthma symptoms cough", US_national_yearly!$D:$AM, 10, FALSE), 1)</f>
        <v>4.2826314500590728E-3</v>
      </c>
      <c r="I6" s="7">
        <f>$B6 * IFERROR(VLOOKUP("electricity|SO2|Asthma symptoms cough", US_national_yearly!$D:$AM, 17, FALSE) / VLOOKUP("electricity|SO2|Asthma symptoms cough", US_national_yearly!$D:$AM, 10, FALSE), 1)</f>
        <v>4.2826314500590728E-3</v>
      </c>
      <c r="J6" s="7">
        <f>$B6 * IFERROR(VLOOKUP("electricity|SO2|Asthma symptoms cough", US_national_yearly!$D:$AM, 18, FALSE) / VLOOKUP("electricity|SO2|Asthma symptoms cough", US_national_yearly!$D:$AM, 10, FALSE), 1)</f>
        <v>4.2826314500590728E-3</v>
      </c>
      <c r="K6" s="7">
        <f>$B6 * IFERROR(VLOOKUP("electricity|SO2|Asthma symptoms cough", US_national_yearly!$D:$AM, 19, FALSE) / VLOOKUP("electricity|SO2|Asthma symptoms cough", US_national_yearly!$D:$AM, 10, FALSE), 1)</f>
        <v>4.2826314500590728E-3</v>
      </c>
      <c r="L6" s="7">
        <f>$B6 * IFERROR(VLOOKUP("electricity|SO2|Asthma symptoms cough", US_national_yearly!$D:$AM, 20, FALSE) / VLOOKUP("electricity|SO2|Asthma symptoms cough", US_national_yearly!$D:$AM, 10, FALSE), 1)</f>
        <v>4.2826314500590728E-3</v>
      </c>
      <c r="M6" s="7">
        <f>$B6 * IFERROR(VLOOKUP("electricity|SO2|Asthma symptoms cough", US_national_yearly!$D:$AM, 21, FALSE) / VLOOKUP("electricity|SO2|Asthma symptoms cough", US_national_yearly!$D:$AM, 10, FALSE), 1)</f>
        <v>4.2826314500590728E-3</v>
      </c>
      <c r="N6" s="7">
        <f>$B6 * IFERROR(VLOOKUP("electricity|SO2|Asthma symptoms cough", US_national_yearly!$D:$AM, 22, FALSE) / VLOOKUP("electricity|SO2|Asthma symptoms cough", US_national_yearly!$D:$AM, 10, FALSE), 1)</f>
        <v>4.2826314500590728E-3</v>
      </c>
      <c r="O6" s="7">
        <f>$B6 * IFERROR(VLOOKUP("electricity|SO2|Asthma symptoms cough", US_national_yearly!$D:$AM, 23, FALSE) / VLOOKUP("electricity|SO2|Asthma symptoms cough", US_national_yearly!$D:$AM, 10, FALSE), 1)</f>
        <v>4.2826314500590728E-3</v>
      </c>
      <c r="P6" s="7">
        <f>$B6 * IFERROR(VLOOKUP("electricity|SO2|Asthma symptoms cough", US_national_yearly!$D:$AM, 24, FALSE) / VLOOKUP("electricity|SO2|Asthma symptoms cough", US_national_yearly!$D:$AM, 10, FALSE), 1)</f>
        <v>4.2826314500590728E-3</v>
      </c>
      <c r="Q6" s="7">
        <f>$B6 * IFERROR(VLOOKUP("electricity|SO2|Asthma symptoms cough", US_national_yearly!$D:$AM, 25, FALSE) / VLOOKUP("electricity|SO2|Asthma symptoms cough", US_national_yearly!$D:$AM, 10, FALSE), 1)</f>
        <v>4.2826314500590728E-3</v>
      </c>
      <c r="R6" s="7">
        <f>$B6 * IFERROR(VLOOKUP("electricity|SO2|Asthma symptoms cough", US_national_yearly!$D:$AM, 26, FALSE) / VLOOKUP("electricity|SO2|Asthma symptoms cough", US_national_yearly!$D:$AM, 10, FALSE), 1)</f>
        <v>4.2826314500590728E-3</v>
      </c>
      <c r="S6" s="7">
        <f>$B6 * IFERROR(VLOOKUP("electricity|SO2|Asthma symptoms cough", US_national_yearly!$D:$AM, 27, FALSE) / VLOOKUP("electricity|SO2|Asthma symptoms cough", US_national_yearly!$D:$AM, 10, FALSE), 1)</f>
        <v>4.2826314500590728E-3</v>
      </c>
      <c r="T6" s="7">
        <f>$B6 * IFERROR(VLOOKUP("electricity|SO2|Asthma symptoms cough", US_national_yearly!$D:$AM, 28, FALSE) / VLOOKUP("electricity|SO2|Asthma symptoms cough", US_national_yearly!$D:$AM, 10, FALSE), 1)</f>
        <v>4.2826314500590728E-3</v>
      </c>
      <c r="U6" s="7">
        <f>$B6 * IFERROR(VLOOKUP("electricity|SO2|Asthma symptoms cough", US_national_yearly!$D:$AM, 29, FALSE) / VLOOKUP("electricity|SO2|Asthma symptoms cough", US_national_yearly!$D:$AM, 10, FALSE), 1)</f>
        <v>4.2826314500590728E-3</v>
      </c>
      <c r="V6" s="7">
        <f>$B6 * IFERROR(VLOOKUP("electricity|SO2|Asthma symptoms cough", US_national_yearly!$D:$AM, 30, FALSE) / VLOOKUP("electricity|SO2|Asthma symptoms cough", US_national_yearly!$D:$AM, 10, FALSE), 1)</f>
        <v>4.2826314500590728E-3</v>
      </c>
      <c r="W6" s="7">
        <f>$B6 * IFERROR(VLOOKUP("electricity|SO2|Asthma symptoms cough", US_national_yearly!$D:$AM, 31, FALSE) / VLOOKUP("electricity|SO2|Asthma symptoms cough", US_national_yearly!$D:$AM, 10, FALSE), 1)</f>
        <v>4.2826314500590728E-3</v>
      </c>
      <c r="X6" s="7">
        <f>$B6 * IFERROR(VLOOKUP("electricity|SO2|Asthma symptoms cough", US_national_yearly!$D:$AM, 32, FALSE) / VLOOKUP("electricity|SO2|Asthma symptoms cough", US_national_yearly!$D:$AM, 10, FALSE), 1)</f>
        <v>4.2826314500590728E-3</v>
      </c>
      <c r="Y6" s="7">
        <f>$B6 * IFERROR(VLOOKUP("electricity|SO2|Asthma symptoms cough", US_national_yearly!$D:$AM, 33, FALSE) / VLOOKUP("electricity|SO2|Asthma symptoms cough", US_national_yearly!$D:$AM, 10, FALSE), 1)</f>
        <v>4.2826314500590728E-3</v>
      </c>
      <c r="Z6" s="7">
        <f>$B6 * IFERROR(VLOOKUP("electricity|SO2|Asthma symptoms cough", US_national_yearly!$D:$AM, 34, FALSE) / VLOOKUP("electricity|SO2|Asthma symptoms cough", US_national_yearly!$D:$AM, 10, FALSE), 1)</f>
        <v>4.2826314500590728E-3</v>
      </c>
      <c r="AA6" s="7">
        <f>$B6 * IFERROR(VLOOKUP("electricity|SO2|Asthma symptoms cough", US_national_yearly!$D:$AM, 35, FALSE) / VLOOKUP("electricity|SO2|Asthma symptoms cough", US_national_yearly!$D:$AM, 10, FALSE), 1)</f>
        <v>4.2826314500590728E-3</v>
      </c>
      <c r="AB6" s="7">
        <f>$B6 * IFERROR(VLOOKUP("electricity|SO2|Asthma symptoms cough", US_national_yearly!$D:$AM, 36, FALSE) / VLOOKUP("electricity|SO2|Asthma symptoms cough", US_national_yearly!$D:$AM, 10, FALSE), 1)</f>
        <v>4.2826314500590728E-3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5.76714964172433E-3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5.76714964172433E-3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5.76714964172433E-3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5.76714964172433E-3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5.76714964172433E-3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5.76714964172433E-3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5.76714964172433E-3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5.76714964172433E-3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5.76714964172433E-3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5.76714964172433E-3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5.76714964172433E-3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5.76714964172433E-3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5.76714964172433E-3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5.76714964172433E-3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5.76714964172433E-3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5.76714964172433E-3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5.76714964172433E-3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5.76714964172433E-3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5.76714964172433E-3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5.76714964172433E-3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5.76714964172433E-3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5.76714964172433E-3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5.76714964172433E-3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5.76714964172433E-3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5.76714964172433E-3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5.76714964172433E-3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5.76714964172433E-3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8.8113522138884466E-3</v>
      </c>
      <c r="C8" s="7">
        <f>$B8 * IFERROR(VLOOKUP("electricity|SO2|Asthma symptoms wheeze", US_national_yearly!$D:$AM, 11, FALSE) / VLOOKUP("electricity|SO2|Asthma symptoms wheeze", US_national_yearly!$D:$AM, 10, FALSE), 1)</f>
        <v>8.8113522138884466E-3</v>
      </c>
      <c r="D8" s="7">
        <f>$B8 * IFERROR(VLOOKUP("electricity|SO2|Asthma symptoms wheeze", US_national_yearly!$D:$AM, 12, FALSE) / VLOOKUP("electricity|SO2|Asthma symptoms wheeze", US_national_yearly!$D:$AM, 10, FALSE), 1)</f>
        <v>8.8113522138884466E-3</v>
      </c>
      <c r="E8" s="7">
        <f>$B8 * IFERROR(VLOOKUP("electricity|SO2|Asthma symptoms wheeze", US_national_yearly!$D:$AM, 13, FALSE) / VLOOKUP("electricity|SO2|Asthma symptoms wheeze", US_national_yearly!$D:$AM, 10, FALSE), 1)</f>
        <v>8.8113522138884466E-3</v>
      </c>
      <c r="F8" s="7">
        <f>$B8 * IFERROR(VLOOKUP("electricity|SO2|Asthma symptoms wheeze", US_national_yearly!$D:$AM, 14, FALSE) / VLOOKUP("electricity|SO2|Asthma symptoms wheeze", US_national_yearly!$D:$AM, 10, FALSE), 1)</f>
        <v>8.8113522138884466E-3</v>
      </c>
      <c r="G8" s="7">
        <f>$B8 * IFERROR(VLOOKUP("electricity|SO2|Asthma symptoms wheeze", US_national_yearly!$D:$AM, 15, FALSE) / VLOOKUP("electricity|SO2|Asthma symptoms wheeze", US_national_yearly!$D:$AM, 10, FALSE), 1)</f>
        <v>8.8113522138884466E-3</v>
      </c>
      <c r="H8" s="7">
        <f>$B8 * IFERROR(VLOOKUP("electricity|SO2|Asthma symptoms wheeze", US_national_yearly!$D:$AM, 16, FALSE) / VLOOKUP("electricity|SO2|Asthma symptoms wheeze", US_national_yearly!$D:$AM, 10, FALSE), 1)</f>
        <v>8.8113522138884466E-3</v>
      </c>
      <c r="I8" s="7">
        <f>$B8 * IFERROR(VLOOKUP("electricity|SO2|Asthma symptoms wheeze", US_national_yearly!$D:$AM, 17, FALSE) / VLOOKUP("electricity|SO2|Asthma symptoms wheeze", US_national_yearly!$D:$AM, 10, FALSE), 1)</f>
        <v>8.8113522138884466E-3</v>
      </c>
      <c r="J8" s="7">
        <f>$B8 * IFERROR(VLOOKUP("electricity|SO2|Asthma symptoms wheeze", US_national_yearly!$D:$AM, 18, FALSE) / VLOOKUP("electricity|SO2|Asthma symptoms wheeze", US_national_yearly!$D:$AM, 10, FALSE), 1)</f>
        <v>8.8113522138884466E-3</v>
      </c>
      <c r="K8" s="7">
        <f>$B8 * IFERROR(VLOOKUP("electricity|SO2|Asthma symptoms wheeze", US_national_yearly!$D:$AM, 19, FALSE) / VLOOKUP("electricity|SO2|Asthma symptoms wheeze", US_national_yearly!$D:$AM, 10, FALSE), 1)</f>
        <v>8.8113522138884466E-3</v>
      </c>
      <c r="L8" s="7">
        <f>$B8 * IFERROR(VLOOKUP("electricity|SO2|Asthma symptoms wheeze", US_national_yearly!$D:$AM, 20, FALSE) / VLOOKUP("electricity|SO2|Asthma symptoms wheeze", US_national_yearly!$D:$AM, 10, FALSE), 1)</f>
        <v>8.8113522138884466E-3</v>
      </c>
      <c r="M8" s="7">
        <f>$B8 * IFERROR(VLOOKUP("electricity|SO2|Asthma symptoms wheeze", US_national_yearly!$D:$AM, 21, FALSE) / VLOOKUP("electricity|SO2|Asthma symptoms wheeze", US_national_yearly!$D:$AM, 10, FALSE), 1)</f>
        <v>8.8113522138884466E-3</v>
      </c>
      <c r="N8" s="7">
        <f>$B8 * IFERROR(VLOOKUP("electricity|SO2|Asthma symptoms wheeze", US_national_yearly!$D:$AM, 22, FALSE) / VLOOKUP("electricity|SO2|Asthma symptoms wheeze", US_national_yearly!$D:$AM, 10, FALSE), 1)</f>
        <v>8.8113522138884466E-3</v>
      </c>
      <c r="O8" s="7">
        <f>$B8 * IFERROR(VLOOKUP("electricity|SO2|Asthma symptoms wheeze", US_national_yearly!$D:$AM, 23, FALSE) / VLOOKUP("electricity|SO2|Asthma symptoms wheeze", US_national_yearly!$D:$AM, 10, FALSE), 1)</f>
        <v>8.8113522138884466E-3</v>
      </c>
      <c r="P8" s="7">
        <f>$B8 * IFERROR(VLOOKUP("electricity|SO2|Asthma symptoms wheeze", US_national_yearly!$D:$AM, 24, FALSE) / VLOOKUP("electricity|SO2|Asthma symptoms wheeze", US_national_yearly!$D:$AM, 10, FALSE), 1)</f>
        <v>8.8113522138884466E-3</v>
      </c>
      <c r="Q8" s="7">
        <f>$B8 * IFERROR(VLOOKUP("electricity|SO2|Asthma symptoms wheeze", US_national_yearly!$D:$AM, 25, FALSE) / VLOOKUP("electricity|SO2|Asthma symptoms wheeze", US_national_yearly!$D:$AM, 10, FALSE), 1)</f>
        <v>8.8113522138884466E-3</v>
      </c>
      <c r="R8" s="7">
        <f>$B8 * IFERROR(VLOOKUP("electricity|SO2|Asthma symptoms wheeze", US_national_yearly!$D:$AM, 26, FALSE) / VLOOKUP("electricity|SO2|Asthma symptoms wheeze", US_national_yearly!$D:$AM, 10, FALSE), 1)</f>
        <v>8.8113522138884466E-3</v>
      </c>
      <c r="S8" s="7">
        <f>$B8 * IFERROR(VLOOKUP("electricity|SO2|Asthma symptoms wheeze", US_national_yearly!$D:$AM, 27, FALSE) / VLOOKUP("electricity|SO2|Asthma symptoms wheeze", US_national_yearly!$D:$AM, 10, FALSE), 1)</f>
        <v>8.8113522138884466E-3</v>
      </c>
      <c r="T8" s="7">
        <f>$B8 * IFERROR(VLOOKUP("electricity|SO2|Asthma symptoms wheeze", US_national_yearly!$D:$AM, 28, FALSE) / VLOOKUP("electricity|SO2|Asthma symptoms wheeze", US_national_yearly!$D:$AM, 10, FALSE), 1)</f>
        <v>8.8113522138884466E-3</v>
      </c>
      <c r="U8" s="7">
        <f>$B8 * IFERROR(VLOOKUP("electricity|SO2|Asthma symptoms wheeze", US_national_yearly!$D:$AM, 29, FALSE) / VLOOKUP("electricity|SO2|Asthma symptoms wheeze", US_national_yearly!$D:$AM, 10, FALSE), 1)</f>
        <v>8.8113522138884466E-3</v>
      </c>
      <c r="V8" s="7">
        <f>$B8 * IFERROR(VLOOKUP("electricity|SO2|Asthma symptoms wheeze", US_national_yearly!$D:$AM, 30, FALSE) / VLOOKUP("electricity|SO2|Asthma symptoms wheeze", US_national_yearly!$D:$AM, 10, FALSE), 1)</f>
        <v>8.8113522138884466E-3</v>
      </c>
      <c r="W8" s="7">
        <f>$B8 * IFERROR(VLOOKUP("electricity|SO2|Asthma symptoms wheeze", US_national_yearly!$D:$AM, 31, FALSE) / VLOOKUP("electricity|SO2|Asthma symptoms wheeze", US_national_yearly!$D:$AM, 10, FALSE), 1)</f>
        <v>8.8113522138884466E-3</v>
      </c>
      <c r="X8" s="7">
        <f>$B8 * IFERROR(VLOOKUP("electricity|SO2|Asthma symptoms wheeze", US_national_yearly!$D:$AM, 32, FALSE) / VLOOKUP("electricity|SO2|Asthma symptoms wheeze", US_national_yearly!$D:$AM, 10, FALSE), 1)</f>
        <v>8.8113522138884466E-3</v>
      </c>
      <c r="Y8" s="7">
        <f>$B8 * IFERROR(VLOOKUP("electricity|SO2|Asthma symptoms wheeze", US_national_yearly!$D:$AM, 33, FALSE) / VLOOKUP("electricity|SO2|Asthma symptoms wheeze", US_national_yearly!$D:$AM, 10, FALSE), 1)</f>
        <v>8.8113522138884466E-3</v>
      </c>
      <c r="Z8" s="7">
        <f>$B8 * IFERROR(VLOOKUP("electricity|SO2|Asthma symptoms wheeze", US_national_yearly!$D:$AM, 34, FALSE) / VLOOKUP("electricity|SO2|Asthma symptoms wheeze", US_national_yearly!$D:$AM, 10, FALSE), 1)</f>
        <v>8.8113522138884466E-3</v>
      </c>
      <c r="AA8" s="7">
        <f>$B8 * IFERROR(VLOOKUP("electricity|SO2|Asthma symptoms wheeze", US_national_yearly!$D:$AM, 35, FALSE) / VLOOKUP("electricity|SO2|Asthma symptoms wheeze", US_national_yearly!$D:$AM, 10, FALSE), 1)</f>
        <v>8.8113522138884466E-3</v>
      </c>
      <c r="AB8" s="7">
        <f>$B8 * IFERROR(VLOOKUP("electricity|SO2|Asthma symptoms wheeze", US_national_yearly!$D:$AM, 36, FALSE) / VLOOKUP("electricity|SO2|Asthma symptoms wheeze", US_national_yearly!$D:$AM, 10, FALSE), 1)</f>
        <v>8.8113522138884466E-3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9.2207166018640885E-5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9.2750232194421315E-5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9.3293298370201772E-5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9.3836364545982201E-5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9.4379430721762644E-5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9.4971207524113558E-5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9.5562984326464485E-5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9.6132282258679232E-5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9.6701580190894007E-5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9.7270878123108782E-5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9.784017605532353E-5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9.8409473987538305E-5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9.8817808851326032E-5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9.9226143715113772E-5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9.9634478578901486E-5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1.0004281344268921E-4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1.0045114830647695E-4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1.0083655631134075E-4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1.0122196431620458E-4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1.0160737232106839E-4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1.0199278032593222E-4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1.0237818833079604E-4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1.0274792061308708E-4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1.0311765289537816E-4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1.0348738517766925E-4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1.038571174599603E-4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1.0422684974225138E-4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5.989565624359807E-4</v>
      </c>
      <c r="C13" s="7">
        <f>$B13 * IFERROR(VLOOKUP("electricity|SO2|Non-fatal heart attacks", US_national_yearly!$D:$AM, 11, FALSE) / VLOOKUP("electricity|SO2|Non-fatal heart attacks", US_national_yearly!$D:$AM, 10, FALSE), 1)</f>
        <v>6.165991690986729E-4</v>
      </c>
      <c r="D13" s="7">
        <f>$B13 * IFERROR(VLOOKUP("electricity|SO2|Non-fatal heart attacks", US_national_yearly!$D:$AM, 12, FALSE) / VLOOKUP("electricity|SO2|Non-fatal heart attacks", US_national_yearly!$D:$AM, 10, FALSE), 1)</f>
        <v>6.3424177576136477E-4</v>
      </c>
      <c r="E13" s="7">
        <f>$B13 * IFERROR(VLOOKUP("electricity|SO2|Non-fatal heart attacks", US_national_yearly!$D:$AM, 13, FALSE) / VLOOKUP("electricity|SO2|Non-fatal heart attacks", US_national_yearly!$D:$AM, 10, FALSE), 1)</f>
        <v>6.5188438242405687E-4</v>
      </c>
      <c r="F13" s="7">
        <f>$B13 * IFERROR(VLOOKUP("electricity|SO2|Non-fatal heart attacks", US_national_yearly!$D:$AM, 14, FALSE) / VLOOKUP("electricity|SO2|Non-fatal heart attacks", US_national_yearly!$D:$AM, 10, FALSE), 1)</f>
        <v>6.6952698908674896E-4</v>
      </c>
      <c r="G13" s="7">
        <f>$B13 * IFERROR(VLOOKUP("electricity|SO2|Non-fatal heart attacks", US_national_yearly!$D:$AM, 15, FALSE) / VLOOKUP("electricity|SO2|Non-fatal heart attacks", US_national_yearly!$D:$AM, 10, FALSE), 1)</f>
        <v>6.8627035214189485E-4</v>
      </c>
      <c r="H13" s="7">
        <f>$B13 * IFERROR(VLOOKUP("electricity|SO2|Non-fatal heart attacks", US_national_yearly!$D:$AM, 16, FALSE) / VLOOKUP("electricity|SO2|Non-fatal heart attacks", US_national_yearly!$D:$AM, 10, FALSE), 1)</f>
        <v>7.0301371519704097E-4</v>
      </c>
      <c r="I13" s="7">
        <f>$B13 * IFERROR(VLOOKUP("electricity|SO2|Non-fatal heart attacks", US_national_yearly!$D:$AM, 17, FALSE) / VLOOKUP("electricity|SO2|Non-fatal heart attacks", US_national_yearly!$D:$AM, 10, FALSE), 1)</f>
        <v>7.1664926793044842E-4</v>
      </c>
      <c r="J13" s="7">
        <f>$B13 * IFERROR(VLOOKUP("electricity|SO2|Non-fatal heart attacks", US_national_yearly!$D:$AM, 18, FALSE) / VLOOKUP("electricity|SO2|Non-fatal heart attacks", US_national_yearly!$D:$AM, 10, FALSE), 1)</f>
        <v>7.3028482066385576E-4</v>
      </c>
      <c r="K13" s="7">
        <f>$B13 * IFERROR(VLOOKUP("electricity|SO2|Non-fatal heart attacks", US_national_yearly!$D:$AM, 19, FALSE) / VLOOKUP("electricity|SO2|Non-fatal heart attacks", US_national_yearly!$D:$AM, 10, FALSE), 1)</f>
        <v>7.4392037339726332E-4</v>
      </c>
      <c r="L13" s="7">
        <f>$B13 * IFERROR(VLOOKUP("electricity|SO2|Non-fatal heart attacks", US_national_yearly!$D:$AM, 20, FALSE) / VLOOKUP("electricity|SO2|Non-fatal heart attacks", US_national_yearly!$D:$AM, 10, FALSE), 1)</f>
        <v>7.5755592613067067E-4</v>
      </c>
      <c r="M13" s="7">
        <f>$B13 * IFERROR(VLOOKUP("electricity|SO2|Non-fatal heart attacks", US_national_yearly!$D:$AM, 21, FALSE) / VLOOKUP("electricity|SO2|Non-fatal heart attacks", US_national_yearly!$D:$AM, 10, FALSE), 1)</f>
        <v>7.7119147886407812E-4</v>
      </c>
      <c r="N13" s="7">
        <f>$B13 * IFERROR(VLOOKUP("electricity|SO2|Non-fatal heart attacks", US_national_yearly!$D:$AM, 22, FALSE) / VLOOKUP("electricity|SO2|Non-fatal heart attacks", US_national_yearly!$D:$AM, 10, FALSE), 1)</f>
        <v>7.8018348395112055E-4</v>
      </c>
      <c r="O13" s="7">
        <f>$B13 * IFERROR(VLOOKUP("electricity|SO2|Non-fatal heart attacks", US_national_yearly!$D:$AM, 23, FALSE) / VLOOKUP("electricity|SO2|Non-fatal heart attacks", US_national_yearly!$D:$AM, 10, FALSE), 1)</f>
        <v>7.8917548903816275E-4</v>
      </c>
      <c r="P13" s="7">
        <f>$B13 * IFERROR(VLOOKUP("electricity|SO2|Non-fatal heart attacks", US_national_yearly!$D:$AM, 24, FALSE) / VLOOKUP("electricity|SO2|Non-fatal heart attacks", US_national_yearly!$D:$AM, 10, FALSE), 1)</f>
        <v>7.9816749412520518E-4</v>
      </c>
      <c r="Q13" s="7">
        <f>$B13 * IFERROR(VLOOKUP("electricity|SO2|Non-fatal heart attacks", US_national_yearly!$D:$AM, 25, FALSE) / VLOOKUP("electricity|SO2|Non-fatal heart attacks", US_national_yearly!$D:$AM, 10, FALSE), 1)</f>
        <v>8.071594992122476E-4</v>
      </c>
      <c r="R13" s="7">
        <f>$B13 * IFERROR(VLOOKUP("electricity|SO2|Non-fatal heart attacks", US_national_yearly!$D:$AM, 26, FALSE) / VLOOKUP("electricity|SO2|Non-fatal heart attacks", US_national_yearly!$D:$AM, 10, FALSE), 1)</f>
        <v>8.1615150429929003E-4</v>
      </c>
      <c r="S13" s="7">
        <f>$B13 * IFERROR(VLOOKUP("electricity|SO2|Non-fatal heart attacks", US_national_yearly!$D:$AM, 27, FALSE) / VLOOKUP("electricity|SO2|Non-fatal heart attacks", US_national_yearly!$D:$AM, 10, FALSE), 1)</f>
        <v>8.2104473948468794E-4</v>
      </c>
      <c r="T13" s="7">
        <f>$B13 * IFERROR(VLOOKUP("electricity|SO2|Non-fatal heart attacks", US_national_yearly!$D:$AM, 28, FALSE) / VLOOKUP("electricity|SO2|Non-fatal heart attacks", US_national_yearly!$D:$AM, 10, FALSE), 1)</f>
        <v>8.2593797467008596E-4</v>
      </c>
      <c r="U13" s="7">
        <f>$B13 * IFERROR(VLOOKUP("electricity|SO2|Non-fatal heart attacks", US_national_yearly!$D:$AM, 29, FALSE) / VLOOKUP("electricity|SO2|Non-fatal heart attacks", US_national_yearly!$D:$AM, 10, FALSE), 1)</f>
        <v>8.3083120985548398E-4</v>
      </c>
      <c r="V13" s="7">
        <f>$B13 * IFERROR(VLOOKUP("electricity|SO2|Non-fatal heart attacks", US_national_yearly!$D:$AM, 30, FALSE) / VLOOKUP("electricity|SO2|Non-fatal heart attacks", US_national_yearly!$D:$AM, 10, FALSE), 1)</f>
        <v>8.3572444504088168E-4</v>
      </c>
      <c r="W13" s="7">
        <f>$B13 * IFERROR(VLOOKUP("electricity|SO2|Non-fatal heart attacks", US_national_yearly!$D:$AM, 31, FALSE) / VLOOKUP("electricity|SO2|Non-fatal heart attacks", US_national_yearly!$D:$AM, 10, FALSE), 1)</f>
        <v>8.406176802262797E-4</v>
      </c>
      <c r="X13" s="7">
        <f>$B13 * IFERROR(VLOOKUP("electricity|SO2|Non-fatal heart attacks", US_national_yearly!$D:$AM, 32, FALSE) / VLOOKUP("electricity|SO2|Non-fatal heart attacks", US_national_yearly!$D:$AM, 10, FALSE), 1)</f>
        <v>8.4437650175431104E-4</v>
      </c>
      <c r="Y13" s="7">
        <f>$B13 * IFERROR(VLOOKUP("electricity|SO2|Non-fatal heart attacks", US_national_yearly!$D:$AM, 33, FALSE) / VLOOKUP("electricity|SO2|Non-fatal heart attacks", US_national_yearly!$D:$AM, 10, FALSE), 1)</f>
        <v>8.481353232823426E-4</v>
      </c>
      <c r="Z13" s="7">
        <f>$B13 * IFERROR(VLOOKUP("electricity|SO2|Non-fatal heart attacks", US_national_yearly!$D:$AM, 34, FALSE) / VLOOKUP("electricity|SO2|Non-fatal heart attacks", US_national_yearly!$D:$AM, 10, FALSE), 1)</f>
        <v>8.5189414481037383E-4</v>
      </c>
      <c r="AA13" s="7">
        <f>$B13 * IFERROR(VLOOKUP("electricity|SO2|Non-fatal heart attacks", US_national_yearly!$D:$AM, 35, FALSE) / VLOOKUP("electricity|SO2|Non-fatal heart attacks", US_national_yearly!$D:$AM, 10, FALSE), 1)</f>
        <v>8.5565296633840517E-4</v>
      </c>
      <c r="AB13" s="7">
        <f>$B13 * IFERROR(VLOOKUP("electricity|SO2|Non-fatal heart attacks", US_national_yearly!$D:$AM, 36, FALSE) / VLOOKUP("electricity|SO2|Non-fatal heart attacks", US_national_yearly!$D:$AM, 10, FALSE), 1)</f>
        <v>8.5941178786643651E-4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0.52771426383970221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0.52904038454022007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0.53036650524073803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0.53169262594125599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0.53301874664177373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0.53493470435539114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0.53685066206900844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0.54013667705971824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0.54342269205042826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0.54670870704113805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0.54999472203184807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0.55328073702255798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0.55780605432123109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0.5623313716199041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0.5668566889185771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0.57138200621725022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0.57590732351592322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0.58054648720226254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0.58518565088860186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0.58982481457494118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0.5944639782612805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0.59910314194761982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0.60318509755113092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0.6072670531546418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0.61134900875815268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0.61543096436166367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0.61951291996517455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8.9513969134684027E-2</v>
      </c>
      <c r="C15" s="7">
        <f>$B15 * IFERROR(VLOOKUP("electricity|SO2|Work loss days", US_national_yearly!$D:$AM, 11, FALSE) / VLOOKUP("electricity|SO2|Work loss days", US_national_yearly!$D:$AM, 10, FALSE), 1)</f>
        <v>8.9803818073928496E-2</v>
      </c>
      <c r="D15" s="7">
        <f>$B15 * IFERROR(VLOOKUP("electricity|SO2|Work loss days", US_national_yearly!$D:$AM, 12, FALSE) / VLOOKUP("electricity|SO2|Work loss days", US_national_yearly!$D:$AM, 10, FALSE), 1)</f>
        <v>9.0093667013172979E-2</v>
      </c>
      <c r="E15" s="7">
        <f>$B15 * IFERROR(VLOOKUP("electricity|SO2|Work loss days", US_national_yearly!$D:$AM, 13, FALSE) / VLOOKUP("electricity|SO2|Work loss days", US_national_yearly!$D:$AM, 10, FALSE), 1)</f>
        <v>9.0383515952417476E-2</v>
      </c>
      <c r="F15" s="7">
        <f>$B15 * IFERROR(VLOOKUP("electricity|SO2|Work loss days", US_national_yearly!$D:$AM, 14, FALSE) / VLOOKUP("electricity|SO2|Work loss days", US_national_yearly!$D:$AM, 10, FALSE), 1)</f>
        <v>9.0673364891661945E-2</v>
      </c>
      <c r="G15" s="7">
        <f>$B15 * IFERROR(VLOOKUP("electricity|SO2|Work loss days", US_national_yearly!$D:$AM, 15, FALSE) / VLOOKUP("electricity|SO2|Work loss days", US_national_yearly!$D:$AM, 10, FALSE), 1)</f>
        <v>9.1044679343018853E-2</v>
      </c>
      <c r="H15" s="7">
        <f>$B15 * IFERROR(VLOOKUP("electricity|SO2|Work loss days", US_national_yearly!$D:$AM, 16, FALSE) / VLOOKUP("electricity|SO2|Work loss days", US_national_yearly!$D:$AM, 10, FALSE), 1)</f>
        <v>9.1415993794375774E-2</v>
      </c>
      <c r="I15" s="7">
        <f>$B15 * IFERROR(VLOOKUP("electricity|SO2|Work loss days", US_national_yearly!$D:$AM, 17, FALSE) / VLOOKUP("electricity|SO2|Work loss days", US_national_yearly!$D:$AM, 10, FALSE), 1)</f>
        <v>9.1959270514080385E-2</v>
      </c>
      <c r="J15" s="7">
        <f>$B15 * IFERROR(VLOOKUP("electricity|SO2|Work loss days", US_national_yearly!$D:$AM, 18, FALSE) / VLOOKUP("electricity|SO2|Work loss days", US_national_yearly!$D:$AM, 10, FALSE), 1)</f>
        <v>9.2502547233784982E-2</v>
      </c>
      <c r="K15" s="7">
        <f>$B15 * IFERROR(VLOOKUP("electricity|SO2|Work loss days", US_national_yearly!$D:$AM, 19, FALSE) / VLOOKUP("electricity|SO2|Work loss days", US_national_yearly!$D:$AM, 10, FALSE), 1)</f>
        <v>9.3045823953489606E-2</v>
      </c>
      <c r="L15" s="7">
        <f>$B15 * IFERROR(VLOOKUP("electricity|SO2|Work loss days", US_national_yearly!$D:$AM, 20, FALSE) / VLOOKUP("electricity|SO2|Work loss days", US_national_yearly!$D:$AM, 10, FALSE), 1)</f>
        <v>9.3589100673194203E-2</v>
      </c>
      <c r="M15" s="7">
        <f>$B15 * IFERROR(VLOOKUP("electricity|SO2|Work loss days", US_national_yearly!$D:$AM, 21, FALSE) / VLOOKUP("electricity|SO2|Work loss days", US_national_yearly!$D:$AM, 10, FALSE), 1)</f>
        <v>9.4132377392898842E-2</v>
      </c>
      <c r="N15" s="7">
        <f>$B15 * IFERROR(VLOOKUP("electricity|SO2|Work loss days", US_national_yearly!$D:$AM, 22, FALSE) / VLOOKUP("electricity|SO2|Work loss days", US_national_yearly!$D:$AM, 10, FALSE), 1)</f>
        <v>9.4819757553116613E-2</v>
      </c>
      <c r="O15" s="7">
        <f>$B15 * IFERROR(VLOOKUP("electricity|SO2|Work loss days", US_national_yearly!$D:$AM, 23, FALSE) / VLOOKUP("electricity|SO2|Work loss days", US_national_yearly!$D:$AM, 10, FALSE), 1)</f>
        <v>9.5507137713334411E-2</v>
      </c>
      <c r="P15" s="7">
        <f>$B15 * IFERROR(VLOOKUP("electricity|SO2|Work loss days", US_national_yearly!$D:$AM, 24, FALSE) / VLOOKUP("electricity|SO2|Work loss days", US_national_yearly!$D:$AM, 10, FALSE), 1)</f>
        <v>9.6194517873552196E-2</v>
      </c>
      <c r="Q15" s="7">
        <f>$B15 * IFERROR(VLOOKUP("electricity|SO2|Work loss days", US_national_yearly!$D:$AM, 25, FALSE) / VLOOKUP("electricity|SO2|Work loss days", US_national_yearly!$D:$AM, 10, FALSE), 1)</f>
        <v>9.6881898033769967E-2</v>
      </c>
      <c r="R15" s="7">
        <f>$B15 * IFERROR(VLOOKUP("electricity|SO2|Work loss days", US_national_yearly!$D:$AM, 26, FALSE) / VLOOKUP("electricity|SO2|Work loss days", US_national_yearly!$D:$AM, 10, FALSE), 1)</f>
        <v>9.7569278193987766E-2</v>
      </c>
      <c r="S15" s="7">
        <f>$B15 * IFERROR(VLOOKUP("electricity|SO2|Work loss days", US_national_yearly!$D:$AM, 27, FALSE) / VLOOKUP("electricity|SO2|Work loss days", US_national_yearly!$D:$AM, 10, FALSE), 1)</f>
        <v>9.8339895497889823E-2</v>
      </c>
      <c r="T15" s="7">
        <f>$B15 * IFERROR(VLOOKUP("electricity|SO2|Work loss days", US_national_yearly!$D:$AM, 28, FALSE) / VLOOKUP("electricity|SO2|Work loss days", US_national_yearly!$D:$AM, 10, FALSE), 1)</f>
        <v>9.9110512801791895E-2</v>
      </c>
      <c r="U15" s="7">
        <f>$B15 * IFERROR(VLOOKUP("electricity|SO2|Work loss days", US_national_yearly!$D:$AM, 29, FALSE) / VLOOKUP("electricity|SO2|Work loss days", US_national_yearly!$D:$AM, 10, FALSE), 1)</f>
        <v>9.9881130105693966E-2</v>
      </c>
      <c r="V15" s="7">
        <f>$B15 * IFERROR(VLOOKUP("electricity|SO2|Work loss days", US_national_yearly!$D:$AM, 30, FALSE) / VLOOKUP("electricity|SO2|Work loss days", US_national_yearly!$D:$AM, 10, FALSE), 1)</f>
        <v>0.10065174740959605</v>
      </c>
      <c r="W15" s="7">
        <f>$B15 * IFERROR(VLOOKUP("electricity|SO2|Work loss days", US_national_yearly!$D:$AM, 31, FALSE) / VLOOKUP("electricity|SO2|Work loss days", US_national_yearly!$D:$AM, 10, FALSE), 1)</f>
        <v>0.10142236471349812</v>
      </c>
      <c r="X15" s="7">
        <f>$B15 * IFERROR(VLOOKUP("electricity|SO2|Work loss days", US_national_yearly!$D:$AM, 32, FALSE) / VLOOKUP("electricity|SO2|Work loss days", US_national_yearly!$D:$AM, 10, FALSE), 1)</f>
        <v>0.10211661468573618</v>
      </c>
      <c r="Y15" s="7">
        <f>$B15 * IFERROR(VLOOKUP("electricity|SO2|Work loss days", US_national_yearly!$D:$AM, 33, FALSE) / VLOOKUP("electricity|SO2|Work loss days", US_national_yearly!$D:$AM, 10, FALSE), 1)</f>
        <v>0.10281086465797423</v>
      </c>
      <c r="Z15" s="7">
        <f>$B15 * IFERROR(VLOOKUP("electricity|SO2|Work loss days", US_national_yearly!$D:$AM, 34, FALSE) / VLOOKUP("electricity|SO2|Work loss days", US_national_yearly!$D:$AM, 10, FALSE), 1)</f>
        <v>0.10350511463021228</v>
      </c>
      <c r="AA15" s="7">
        <f>$B15 * IFERROR(VLOOKUP("electricity|SO2|Work loss days", US_national_yearly!$D:$AM, 35, FALSE) / VLOOKUP("electricity|SO2|Work loss days", US_national_yearly!$D:$AM, 10, FALSE), 1)</f>
        <v>0.10419936460245033</v>
      </c>
      <c r="AB15" s="7">
        <f>$B15 * IFERROR(VLOOKUP("electricity|SO2|Work loss days", US_national_yearly!$D:$AM, 36, FALSE) / VLOOKUP("electricity|SO2|Work loss days", US_national_yearly!$D:$AM, 10, FALSE), 1)</f>
        <v>0.10489361457468839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1.2529745223839004E-4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1.2909431334582813E-4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1.3289117445326623E-4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1.3668803556070435E-4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1.4048489666814245E-4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1.4414482883383907E-4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1.4780476099953571E-4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1.5097331264900623E-4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1.5414186429847673E-4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1.5731041594794722E-4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1.6047896759741769E-4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1.6364751924688819E-4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1.6581004729992438E-4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1.6797257535296054E-4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1.7013510340599679E-4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1.7229763145903292E-4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1.7446015951206911E-4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1.7564569700689018E-4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1.7683123450171122E-4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1.7801677199653229E-4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1.7920230949135333E-4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1.8038784698617437E-4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1.8120620908019993E-4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1.8202457117422543E-4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1.8284293326825096E-4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1.836612953622765E-4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1.8447965745630203E-4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2.5955923278388818E-2</v>
      </c>
      <c r="C2" s="7">
        <f>$B2 * IFERROR(VLOOKUP("buildings|PM25|Premature mortality", US_national_yearly!$D:$AM, 11, FALSE) / VLOOKUP("buildings|PM25|Premature mortality", US_national_yearly!$D:$AM, 10, FALSE), 1)</f>
        <v>2.6277952926632972E-2</v>
      </c>
      <c r="D2" s="7">
        <f>$B2 * IFERROR(VLOOKUP("buildings|PM25|Premature mortality", US_national_yearly!$D:$AM, 12, FALSE) / VLOOKUP("buildings|PM25|Premature mortality", US_national_yearly!$D:$AM, 10, FALSE), 1)</f>
        <v>2.659998257487713E-2</v>
      </c>
      <c r="E2" s="7">
        <f>$B2 * IFERROR(VLOOKUP("buildings|PM25|Premature mortality", US_national_yearly!$D:$AM, 13, FALSE) / VLOOKUP("buildings|PM25|Premature mortality", US_national_yearly!$D:$AM, 10, FALSE), 1)</f>
        <v>2.6922012223121284E-2</v>
      </c>
      <c r="F2" s="7">
        <f>$B2 * IFERROR(VLOOKUP("buildings|PM25|Premature mortality", US_national_yearly!$D:$AM, 14, FALSE) / VLOOKUP("buildings|PM25|Premature mortality", US_national_yearly!$D:$AM, 10, FALSE), 1)</f>
        <v>2.7244041871365438E-2</v>
      </c>
      <c r="G2" s="7">
        <f>$B2 * IFERROR(VLOOKUP("buildings|PM25|Premature mortality", US_national_yearly!$D:$AM, 15, FALSE) / VLOOKUP("buildings|PM25|Premature mortality", US_national_yearly!$D:$AM, 10, FALSE), 1)</f>
        <v>2.7871099635463564E-2</v>
      </c>
      <c r="H2" s="7">
        <f>$B2 * IFERROR(VLOOKUP("buildings|PM25|Premature mortality", US_national_yearly!$D:$AM, 16, FALSE) / VLOOKUP("buildings|PM25|Premature mortality", US_national_yearly!$D:$AM, 10, FALSE), 1)</f>
        <v>2.8498157399561692E-2</v>
      </c>
      <c r="I2" s="7">
        <f>$B2 * IFERROR(VLOOKUP("buildings|PM25|Premature mortality", US_national_yearly!$D:$AM, 17, FALSE) / VLOOKUP("buildings|PM25|Premature mortality", US_national_yearly!$D:$AM, 10, FALSE), 1)</f>
        <v>2.8910562490543815E-2</v>
      </c>
      <c r="J2" s="7">
        <f>$B2 * IFERROR(VLOOKUP("buildings|PM25|Premature mortality", US_national_yearly!$D:$AM, 18, FALSE) / VLOOKUP("buildings|PM25|Premature mortality", US_national_yearly!$D:$AM, 10, FALSE), 1)</f>
        <v>2.932296758152594E-2</v>
      </c>
      <c r="K2" s="7">
        <f>$B2 * IFERROR(VLOOKUP("buildings|PM25|Premature mortality", US_national_yearly!$D:$AM, 19, FALSE) / VLOOKUP("buildings|PM25|Premature mortality", US_national_yearly!$D:$AM, 10, FALSE), 1)</f>
        <v>2.9735372672508066E-2</v>
      </c>
      <c r="L2" s="7">
        <f>$B2 * IFERROR(VLOOKUP("buildings|PM25|Premature mortality", US_national_yearly!$D:$AM, 20, FALSE) / VLOOKUP("buildings|PM25|Premature mortality", US_national_yearly!$D:$AM, 10, FALSE), 1)</f>
        <v>3.0147777763490188E-2</v>
      </c>
      <c r="M2" s="7">
        <f>$B2 * IFERROR(VLOOKUP("buildings|PM25|Premature mortality", US_national_yearly!$D:$AM, 21, FALSE) / VLOOKUP("buildings|PM25|Premature mortality", US_national_yearly!$D:$AM, 10, FALSE), 1)</f>
        <v>3.0560182854472314E-2</v>
      </c>
      <c r="N2" s="7">
        <f>$B2 * IFERROR(VLOOKUP("buildings|PM25|Premature mortality", US_national_yearly!$D:$AM, 22, FALSE) / VLOOKUP("buildings|PM25|Premature mortality", US_national_yearly!$D:$AM, 10, FALSE), 1)</f>
        <v>3.0880873648160081E-2</v>
      </c>
      <c r="O2" s="7">
        <f>$B2 * IFERROR(VLOOKUP("buildings|PM25|Premature mortality", US_national_yearly!$D:$AM, 23, FALSE) / VLOOKUP("buildings|PM25|Premature mortality", US_national_yearly!$D:$AM, 10, FALSE), 1)</f>
        <v>3.1201564441847851E-2</v>
      </c>
      <c r="P2" s="7">
        <f>$B2 * IFERROR(VLOOKUP("buildings|PM25|Premature mortality", US_national_yearly!$D:$AM, 24, FALSE) / VLOOKUP("buildings|PM25|Premature mortality", US_national_yearly!$D:$AM, 10, FALSE), 1)</f>
        <v>3.1522255235535618E-2</v>
      </c>
      <c r="Q2" s="7">
        <f>$B2 * IFERROR(VLOOKUP("buildings|PM25|Premature mortality", US_national_yearly!$D:$AM, 25, FALSE) / VLOOKUP("buildings|PM25|Premature mortality", US_national_yearly!$D:$AM, 10, FALSE), 1)</f>
        <v>3.1842946029223392E-2</v>
      </c>
      <c r="R2" s="7">
        <f>$B2 * IFERROR(VLOOKUP("buildings|PM25|Premature mortality", US_national_yearly!$D:$AM, 26, FALSE) / VLOOKUP("buildings|PM25|Premature mortality", US_national_yearly!$D:$AM, 10, FALSE), 1)</f>
        <v>3.2163636822911158E-2</v>
      </c>
      <c r="S2" s="7">
        <f>$B2 * IFERROR(VLOOKUP("buildings|PM25|Premature mortality", US_national_yearly!$D:$AM, 27, FALSE) / VLOOKUP("buildings|PM25|Premature mortality", US_national_yearly!$D:$AM, 10, FALSE), 1)</f>
        <v>3.2334087165138657E-2</v>
      </c>
      <c r="T2" s="7">
        <f>$B2 * IFERROR(VLOOKUP("buildings|PM25|Premature mortality", US_national_yearly!$D:$AM, 28, FALSE) / VLOOKUP("buildings|PM25|Premature mortality", US_national_yearly!$D:$AM, 10, FALSE), 1)</f>
        <v>3.250453750736617E-2</v>
      </c>
      <c r="U2" s="7">
        <f>$B2 * IFERROR(VLOOKUP("buildings|PM25|Premature mortality", US_national_yearly!$D:$AM, 29, FALSE) / VLOOKUP("buildings|PM25|Premature mortality", US_national_yearly!$D:$AM, 10, FALSE), 1)</f>
        <v>3.2674987849593676E-2</v>
      </c>
      <c r="V2" s="7">
        <f>$B2 * IFERROR(VLOOKUP("buildings|PM25|Premature mortality", US_national_yearly!$D:$AM, 30, FALSE) / VLOOKUP("buildings|PM25|Premature mortality", US_national_yearly!$D:$AM, 10, FALSE), 1)</f>
        <v>3.2845438191821182E-2</v>
      </c>
      <c r="W2" s="7">
        <f>$B2 * IFERROR(VLOOKUP("buildings|PM25|Premature mortality", US_national_yearly!$D:$AM, 31, FALSE) / VLOOKUP("buildings|PM25|Premature mortality", US_national_yearly!$D:$AM, 10, FALSE), 1)</f>
        <v>3.301588853404868E-2</v>
      </c>
      <c r="X2" s="7">
        <f>$B2 * IFERROR(VLOOKUP("buildings|PM25|Premature mortality", US_national_yearly!$D:$AM, 32, FALSE) / VLOOKUP("buildings|PM25|Premature mortality", US_national_yearly!$D:$AM, 10, FALSE), 1)</f>
        <v>3.3046483002074994E-2</v>
      </c>
      <c r="Y2" s="7">
        <f>$B2 * IFERROR(VLOOKUP("buildings|PM25|Premature mortality", US_national_yearly!$D:$AM, 33, FALSE) / VLOOKUP("buildings|PM25|Premature mortality", US_national_yearly!$D:$AM, 10, FALSE), 1)</f>
        <v>3.3077077470101302E-2</v>
      </c>
      <c r="Z2" s="7">
        <f>$B2 * IFERROR(VLOOKUP("buildings|PM25|Premature mortality", US_national_yearly!$D:$AM, 34, FALSE) / VLOOKUP("buildings|PM25|Premature mortality", US_national_yearly!$D:$AM, 10, FALSE), 1)</f>
        <v>3.3107671938127615E-2</v>
      </c>
      <c r="AA2" s="7">
        <f>$B2 * IFERROR(VLOOKUP("buildings|PM25|Premature mortality", US_national_yearly!$D:$AM, 35, FALSE) / VLOOKUP("buildings|PM25|Premature mortality", US_national_yearly!$D:$AM, 10, FALSE), 1)</f>
        <v>3.3138266406153929E-2</v>
      </c>
      <c r="AB2" s="7">
        <f>$B2 * IFERROR(VLOOKUP("buildings|PM25|Premature mortality", US_national_yearly!$D:$AM, 36, FALSE) / VLOOKUP("buildings|PM25|Premature mortality", US_national_yearly!$D:$AM, 10, FALSE), 1)</f>
        <v>3.3168860874180243E-2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7.0633478924780923E-5</v>
      </c>
      <c r="C3" s="7">
        <f>$B3 * IFERROR(VLOOKUP("buildings|PM25|Infant mortality", US_national_yearly!$D:$AM, 11, FALSE) / VLOOKUP("buildings|PM25|Infant mortality", US_national_yearly!$D:$AM, 10, FALSE), 1)</f>
        <v>7.0021678736919952E-5</v>
      </c>
      <c r="D3" s="7">
        <f>$B3 * IFERROR(VLOOKUP("buildings|PM25|Infant mortality", US_national_yearly!$D:$AM, 12, FALSE) / VLOOKUP("buildings|PM25|Infant mortality", US_national_yearly!$D:$AM, 10, FALSE), 1)</f>
        <v>6.9409878549058982E-5</v>
      </c>
      <c r="E3" s="7">
        <f>$B3 * IFERROR(VLOOKUP("buildings|PM25|Infant mortality", US_national_yearly!$D:$AM, 13, FALSE) / VLOOKUP("buildings|PM25|Infant mortality", US_national_yearly!$D:$AM, 10, FALSE), 1)</f>
        <v>6.8798078361198011E-5</v>
      </c>
      <c r="F3" s="7">
        <f>$B3 * IFERROR(VLOOKUP("buildings|PM25|Infant mortality", US_national_yearly!$D:$AM, 14, FALSE) / VLOOKUP("buildings|PM25|Infant mortality", US_national_yearly!$D:$AM, 10, FALSE), 1)</f>
        <v>6.8186278173337054E-5</v>
      </c>
      <c r="G3" s="7">
        <f>$B3 * IFERROR(VLOOKUP("buildings|PM25|Infant mortality", US_national_yearly!$D:$AM, 15, FALSE) / VLOOKUP("buildings|PM25|Infant mortality", US_national_yearly!$D:$AM, 10, FALSE), 1)</f>
        <v>4.5341401243335539E-5</v>
      </c>
      <c r="H3" s="7">
        <f>$B3 * IFERROR(VLOOKUP("buildings|PM25|Infant mortality", US_national_yearly!$D:$AM, 16, FALSE) / VLOOKUP("buildings|PM25|Infant mortality", US_national_yearly!$D:$AM, 10, FALSE), 1)</f>
        <v>2.2496524313334038E-5</v>
      </c>
      <c r="I3" s="7">
        <f>$B3 * IFERROR(VLOOKUP("buildings|PM25|Infant mortality", US_national_yearly!$D:$AM, 17, FALSE) / VLOOKUP("buildings|PM25|Infant mortality", US_national_yearly!$D:$AM, 10, FALSE), 1)</f>
        <v>2.2349927835624381E-5</v>
      </c>
      <c r="J3" s="7">
        <f>$B3 * IFERROR(VLOOKUP("buildings|PM25|Infant mortality", US_national_yearly!$D:$AM, 18, FALSE) / VLOOKUP("buildings|PM25|Infant mortality", US_national_yearly!$D:$AM, 10, FALSE), 1)</f>
        <v>2.2203331357914723E-5</v>
      </c>
      <c r="K3" s="7">
        <f>$B3 * IFERROR(VLOOKUP("buildings|PM25|Infant mortality", US_national_yearly!$D:$AM, 19, FALSE) / VLOOKUP("buildings|PM25|Infant mortality", US_national_yearly!$D:$AM, 10, FALSE), 1)</f>
        <v>2.2056734880205066E-5</v>
      </c>
      <c r="L3" s="7">
        <f>$B3 * IFERROR(VLOOKUP("buildings|PM25|Infant mortality", US_national_yearly!$D:$AM, 20, FALSE) / VLOOKUP("buildings|PM25|Infant mortality", US_national_yearly!$D:$AM, 10, FALSE), 1)</f>
        <v>2.1910138402495409E-5</v>
      </c>
      <c r="M3" s="7">
        <f>$B3 * IFERROR(VLOOKUP("buildings|PM25|Infant mortality", US_national_yearly!$D:$AM, 21, FALSE) / VLOOKUP("buildings|PM25|Infant mortality", US_national_yearly!$D:$AM, 10, FALSE), 1)</f>
        <v>2.1763541924785752E-5</v>
      </c>
      <c r="N3" s="7">
        <f>$B3 * IFERROR(VLOOKUP("buildings|PM25|Infant mortality", US_national_yearly!$D:$AM, 22, FALSE) / VLOOKUP("buildings|PM25|Infant mortality", US_national_yearly!$D:$AM, 10, FALSE), 1)</f>
        <v>2.1671817137820383E-5</v>
      </c>
      <c r="O3" s="7">
        <f>$B3 * IFERROR(VLOOKUP("buildings|PM25|Infant mortality", US_national_yearly!$D:$AM, 23, FALSE) / VLOOKUP("buildings|PM25|Infant mortality", US_national_yearly!$D:$AM, 10, FALSE), 1)</f>
        <v>2.1580092350855014E-5</v>
      </c>
      <c r="P3" s="7">
        <f>$B3 * IFERROR(VLOOKUP("buildings|PM25|Infant mortality", US_national_yearly!$D:$AM, 24, FALSE) / VLOOKUP("buildings|PM25|Infant mortality", US_national_yearly!$D:$AM, 10, FALSE), 1)</f>
        <v>2.1488367563889646E-5</v>
      </c>
      <c r="Q3" s="7">
        <f>$B3 * IFERROR(VLOOKUP("buildings|PM25|Infant mortality", US_national_yearly!$D:$AM, 25, FALSE) / VLOOKUP("buildings|PM25|Infant mortality", US_national_yearly!$D:$AM, 10, FALSE), 1)</f>
        <v>2.1396642776924277E-5</v>
      </c>
      <c r="R3" s="7">
        <f>$B3 * IFERROR(VLOOKUP("buildings|PM25|Infant mortality", US_national_yearly!$D:$AM, 26, FALSE) / VLOOKUP("buildings|PM25|Infant mortality", US_national_yearly!$D:$AM, 10, FALSE), 1)</f>
        <v>2.1304917989958908E-5</v>
      </c>
      <c r="S3" s="7">
        <f>$B3 * IFERROR(VLOOKUP("buildings|PM25|Infant mortality", US_national_yearly!$D:$AM, 27, FALSE) / VLOOKUP("buildings|PM25|Infant mortality", US_national_yearly!$D:$AM, 10, FALSE), 1)</f>
        <v>2.1190393286199477E-5</v>
      </c>
      <c r="T3" s="7">
        <f>$B3 * IFERROR(VLOOKUP("buildings|PM25|Infant mortality", US_national_yearly!$D:$AM, 28, FALSE) / VLOOKUP("buildings|PM25|Infant mortality", US_national_yearly!$D:$AM, 10, FALSE), 1)</f>
        <v>2.1075868582440046E-5</v>
      </c>
      <c r="U3" s="7">
        <f>$B3 * IFERROR(VLOOKUP("buildings|PM25|Infant mortality", US_national_yearly!$D:$AM, 29, FALSE) / VLOOKUP("buildings|PM25|Infant mortality", US_national_yearly!$D:$AM, 10, FALSE), 1)</f>
        <v>2.0961343878680608E-5</v>
      </c>
      <c r="V3" s="7">
        <f>$B3 * IFERROR(VLOOKUP("buildings|PM25|Infant mortality", US_national_yearly!$D:$AM, 30, FALSE) / VLOOKUP("buildings|PM25|Infant mortality", US_national_yearly!$D:$AM, 10, FALSE), 1)</f>
        <v>2.0846819174921177E-5</v>
      </c>
      <c r="W3" s="7">
        <f>$B3 * IFERROR(VLOOKUP("buildings|PM25|Infant mortality", US_national_yearly!$D:$AM, 31, FALSE) / VLOOKUP("buildings|PM25|Infant mortality", US_national_yearly!$D:$AM, 10, FALSE), 1)</f>
        <v>2.0732294471161743E-5</v>
      </c>
      <c r="X3" s="7">
        <f>$B3 * IFERROR(VLOOKUP("buildings|PM25|Infant mortality", US_national_yearly!$D:$AM, 32, FALSE) / VLOOKUP("buildings|PM25|Infant mortality", US_national_yearly!$D:$AM, 10, FALSE), 1)</f>
        <v>2.0608993882070119E-5</v>
      </c>
      <c r="Y3" s="7">
        <f>$B3 * IFERROR(VLOOKUP("buildings|PM25|Infant mortality", US_national_yearly!$D:$AM, 33, FALSE) / VLOOKUP("buildings|PM25|Infant mortality", US_national_yearly!$D:$AM, 10, FALSE), 1)</f>
        <v>2.0485693292978502E-5</v>
      </c>
      <c r="Z3" s="7">
        <f>$B3 * IFERROR(VLOOKUP("buildings|PM25|Infant mortality", US_national_yearly!$D:$AM, 34, FALSE) / VLOOKUP("buildings|PM25|Infant mortality", US_national_yearly!$D:$AM, 10, FALSE), 1)</f>
        <v>2.0362392703886878E-5</v>
      </c>
      <c r="AA3" s="7">
        <f>$B3 * IFERROR(VLOOKUP("buildings|PM25|Infant mortality", US_national_yearly!$D:$AM, 35, FALSE) / VLOOKUP("buildings|PM25|Infant mortality", US_national_yearly!$D:$AM, 10, FALSE), 1)</f>
        <v>2.0239092114795254E-5</v>
      </c>
      <c r="AB3" s="7">
        <f>$B3 * IFERROR(VLOOKUP("buildings|PM25|Infant mortality", US_national_yearly!$D:$AM, 36, FALSE) / VLOOKUP("buildings|PM25|Infant mortality", US_national_yearly!$D:$AM, 10, FALSE), 1)</f>
        <v>2.0115791525703633E-5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8.0724712298598372E-2</v>
      </c>
      <c r="C6" s="7">
        <f>$B6 * IFERROR(VLOOKUP("buildings|PM25|Asthma symptoms cough", US_national_yearly!$D:$AM, 11, FALSE) / VLOOKUP("buildings|PM25|Asthma symptoms cough", US_national_yearly!$D:$AM, 10, FALSE), 1)</f>
        <v>8.0724712298598372E-2</v>
      </c>
      <c r="D6" s="7">
        <f>$B6 * IFERROR(VLOOKUP("buildings|PM25|Asthma symptoms cough", US_national_yearly!$D:$AM, 12, FALSE) / VLOOKUP("buildings|PM25|Asthma symptoms cough", US_national_yearly!$D:$AM, 10, FALSE), 1)</f>
        <v>8.0724712298598372E-2</v>
      </c>
      <c r="E6" s="7">
        <f>$B6 * IFERROR(VLOOKUP("buildings|PM25|Asthma symptoms cough", US_national_yearly!$D:$AM, 13, FALSE) / VLOOKUP("buildings|PM25|Asthma symptoms cough", US_national_yearly!$D:$AM, 10, FALSE), 1)</f>
        <v>8.0724712298598372E-2</v>
      </c>
      <c r="F6" s="7">
        <f>$B6 * IFERROR(VLOOKUP("buildings|PM25|Asthma symptoms cough", US_national_yearly!$D:$AM, 14, FALSE) / VLOOKUP("buildings|PM25|Asthma symptoms cough", US_national_yearly!$D:$AM, 10, FALSE), 1)</f>
        <v>8.0724712298598372E-2</v>
      </c>
      <c r="G6" s="7">
        <f>$B6 * IFERROR(VLOOKUP("buildings|PM25|Asthma symptoms cough", US_national_yearly!$D:$AM, 15, FALSE) / VLOOKUP("buildings|PM25|Asthma symptoms cough", US_national_yearly!$D:$AM, 10, FALSE), 1)</f>
        <v>8.0724712298598372E-2</v>
      </c>
      <c r="H6" s="7">
        <f>$B6 * IFERROR(VLOOKUP("buildings|PM25|Asthma symptoms cough", US_national_yearly!$D:$AM, 16, FALSE) / VLOOKUP("buildings|PM25|Asthma symptoms cough", US_national_yearly!$D:$AM, 10, FALSE), 1)</f>
        <v>8.0724712298598372E-2</v>
      </c>
      <c r="I6" s="7">
        <f>$B6 * IFERROR(VLOOKUP("buildings|PM25|Asthma symptoms cough", US_national_yearly!$D:$AM, 17, FALSE) / VLOOKUP("buildings|PM25|Asthma symptoms cough", US_national_yearly!$D:$AM, 10, FALSE), 1)</f>
        <v>8.0724712298598372E-2</v>
      </c>
      <c r="J6" s="7">
        <f>$B6 * IFERROR(VLOOKUP("buildings|PM25|Asthma symptoms cough", US_national_yearly!$D:$AM, 18, FALSE) / VLOOKUP("buildings|PM25|Asthma symptoms cough", US_national_yearly!$D:$AM, 10, FALSE), 1)</f>
        <v>8.0724712298598372E-2</v>
      </c>
      <c r="K6" s="7">
        <f>$B6 * IFERROR(VLOOKUP("buildings|PM25|Asthma symptoms cough", US_national_yearly!$D:$AM, 19, FALSE) / VLOOKUP("buildings|PM25|Asthma symptoms cough", US_national_yearly!$D:$AM, 10, FALSE), 1)</f>
        <v>8.0724712298598372E-2</v>
      </c>
      <c r="L6" s="7">
        <f>$B6 * IFERROR(VLOOKUP("buildings|PM25|Asthma symptoms cough", US_national_yearly!$D:$AM, 20, FALSE) / VLOOKUP("buildings|PM25|Asthma symptoms cough", US_national_yearly!$D:$AM, 10, FALSE), 1)</f>
        <v>8.0724712298598372E-2</v>
      </c>
      <c r="M6" s="7">
        <f>$B6 * IFERROR(VLOOKUP("buildings|PM25|Asthma symptoms cough", US_national_yearly!$D:$AM, 21, FALSE) / VLOOKUP("buildings|PM25|Asthma symptoms cough", US_national_yearly!$D:$AM, 10, FALSE), 1)</f>
        <v>8.0724712298598372E-2</v>
      </c>
      <c r="N6" s="7">
        <f>$B6 * IFERROR(VLOOKUP("buildings|PM25|Asthma symptoms cough", US_national_yearly!$D:$AM, 22, FALSE) / VLOOKUP("buildings|PM25|Asthma symptoms cough", US_national_yearly!$D:$AM, 10, FALSE), 1)</f>
        <v>8.0724712298598372E-2</v>
      </c>
      <c r="O6" s="7">
        <f>$B6 * IFERROR(VLOOKUP("buildings|PM25|Asthma symptoms cough", US_national_yearly!$D:$AM, 23, FALSE) / VLOOKUP("buildings|PM25|Asthma symptoms cough", US_national_yearly!$D:$AM, 10, FALSE), 1)</f>
        <v>8.0724712298598372E-2</v>
      </c>
      <c r="P6" s="7">
        <f>$B6 * IFERROR(VLOOKUP("buildings|PM25|Asthma symptoms cough", US_national_yearly!$D:$AM, 24, FALSE) / VLOOKUP("buildings|PM25|Asthma symptoms cough", US_national_yearly!$D:$AM, 10, FALSE), 1)</f>
        <v>8.0724712298598372E-2</v>
      </c>
      <c r="Q6" s="7">
        <f>$B6 * IFERROR(VLOOKUP("buildings|PM25|Asthma symptoms cough", US_national_yearly!$D:$AM, 25, FALSE) / VLOOKUP("buildings|PM25|Asthma symptoms cough", US_national_yearly!$D:$AM, 10, FALSE), 1)</f>
        <v>8.0724712298598372E-2</v>
      </c>
      <c r="R6" s="7">
        <f>$B6 * IFERROR(VLOOKUP("buildings|PM25|Asthma symptoms cough", US_national_yearly!$D:$AM, 26, FALSE) / VLOOKUP("buildings|PM25|Asthma symptoms cough", US_national_yearly!$D:$AM, 10, FALSE), 1)</f>
        <v>8.0724712298598372E-2</v>
      </c>
      <c r="S6" s="7">
        <f>$B6 * IFERROR(VLOOKUP("buildings|PM25|Asthma symptoms cough", US_national_yearly!$D:$AM, 27, FALSE) / VLOOKUP("buildings|PM25|Asthma symptoms cough", US_national_yearly!$D:$AM, 10, FALSE), 1)</f>
        <v>8.0724712298598372E-2</v>
      </c>
      <c r="T6" s="7">
        <f>$B6 * IFERROR(VLOOKUP("buildings|PM25|Asthma symptoms cough", US_national_yearly!$D:$AM, 28, FALSE) / VLOOKUP("buildings|PM25|Asthma symptoms cough", US_national_yearly!$D:$AM, 10, FALSE), 1)</f>
        <v>8.0724712298598372E-2</v>
      </c>
      <c r="U6" s="7">
        <f>$B6 * IFERROR(VLOOKUP("buildings|PM25|Asthma symptoms cough", US_national_yearly!$D:$AM, 29, FALSE) / VLOOKUP("buildings|PM25|Asthma symptoms cough", US_national_yearly!$D:$AM, 10, FALSE), 1)</f>
        <v>8.0724712298598372E-2</v>
      </c>
      <c r="V6" s="7">
        <f>$B6 * IFERROR(VLOOKUP("buildings|PM25|Asthma symptoms cough", US_national_yearly!$D:$AM, 30, FALSE) / VLOOKUP("buildings|PM25|Asthma symptoms cough", US_national_yearly!$D:$AM, 10, FALSE), 1)</f>
        <v>8.0724712298598372E-2</v>
      </c>
      <c r="W6" s="7">
        <f>$B6 * IFERROR(VLOOKUP("buildings|PM25|Asthma symptoms cough", US_national_yearly!$D:$AM, 31, FALSE) / VLOOKUP("buildings|PM25|Asthma symptoms cough", US_national_yearly!$D:$AM, 10, FALSE), 1)</f>
        <v>8.0724712298598372E-2</v>
      </c>
      <c r="X6" s="7">
        <f>$B6 * IFERROR(VLOOKUP("buildings|PM25|Asthma symptoms cough", US_national_yearly!$D:$AM, 32, FALSE) / VLOOKUP("buildings|PM25|Asthma symptoms cough", US_national_yearly!$D:$AM, 10, FALSE), 1)</f>
        <v>8.0724712298598372E-2</v>
      </c>
      <c r="Y6" s="7">
        <f>$B6 * IFERROR(VLOOKUP("buildings|PM25|Asthma symptoms cough", US_national_yearly!$D:$AM, 33, FALSE) / VLOOKUP("buildings|PM25|Asthma symptoms cough", US_national_yearly!$D:$AM, 10, FALSE), 1)</f>
        <v>8.0724712298598372E-2</v>
      </c>
      <c r="Z6" s="7">
        <f>$B6 * IFERROR(VLOOKUP("buildings|PM25|Asthma symptoms cough", US_national_yearly!$D:$AM, 34, FALSE) / VLOOKUP("buildings|PM25|Asthma symptoms cough", US_national_yearly!$D:$AM, 10, FALSE), 1)</f>
        <v>8.0724712298598372E-2</v>
      </c>
      <c r="AA6" s="7">
        <f>$B6 * IFERROR(VLOOKUP("buildings|PM25|Asthma symptoms cough", US_national_yearly!$D:$AM, 35, FALSE) / VLOOKUP("buildings|PM25|Asthma symptoms cough", US_national_yearly!$D:$AM, 10, FALSE), 1)</f>
        <v>8.0724712298598372E-2</v>
      </c>
      <c r="AB6" s="7">
        <f>$B6 * IFERROR(VLOOKUP("buildings|PM25|Asthma symptoms cough", US_national_yearly!$D:$AM, 36, FALSE) / VLOOKUP("buildings|PM25|Asthma symptoms cough", US_national_yearly!$D:$AM, 10, FALSE), 1)</f>
        <v>8.0724712298598372E-2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0.10870750803807309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0.10870750803807309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0.10870750803807309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0.10870750803807309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0.10870750803807309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0.10870750803807309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0.10870750803807309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0.10870750803807309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0.10870750803807309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0.10870750803807309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0.10870750803807309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0.10870750803807309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0.10870750803807309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0.10870750803807309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0.10870750803807309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0.10870750803807309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0.10870750803807309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0.10870750803807309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0.10870750803807309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0.10870750803807309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0.10870750803807309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0.10870750803807309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0.10870750803807309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0.10870750803807309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0.10870750803807309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0.10870750803807309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0.10870750803807309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0.16608675807616305</v>
      </c>
      <c r="C8" s="7">
        <f>$B8 * IFERROR(VLOOKUP("buildings|PM25|Asthma symptoms wheeze", US_national_yearly!$D:$AM, 11, FALSE) / VLOOKUP("buildings|PM25|Asthma symptoms wheeze", US_national_yearly!$D:$AM, 10, FALSE), 1)</f>
        <v>0.16608675807616305</v>
      </c>
      <c r="D8" s="7">
        <f>$B8 * IFERROR(VLOOKUP("buildings|PM25|Asthma symptoms wheeze", US_national_yearly!$D:$AM, 12, FALSE) / VLOOKUP("buildings|PM25|Asthma symptoms wheeze", US_national_yearly!$D:$AM, 10, FALSE), 1)</f>
        <v>0.16608675807616305</v>
      </c>
      <c r="E8" s="7">
        <f>$B8 * IFERROR(VLOOKUP("buildings|PM25|Asthma symptoms wheeze", US_national_yearly!$D:$AM, 13, FALSE) / VLOOKUP("buildings|PM25|Asthma symptoms wheeze", US_national_yearly!$D:$AM, 10, FALSE), 1)</f>
        <v>0.16608675807616305</v>
      </c>
      <c r="F8" s="7">
        <f>$B8 * IFERROR(VLOOKUP("buildings|PM25|Asthma symptoms wheeze", US_national_yearly!$D:$AM, 14, FALSE) / VLOOKUP("buildings|PM25|Asthma symptoms wheeze", US_national_yearly!$D:$AM, 10, FALSE), 1)</f>
        <v>0.16608675807616305</v>
      </c>
      <c r="G8" s="7">
        <f>$B8 * IFERROR(VLOOKUP("buildings|PM25|Asthma symptoms wheeze", US_national_yearly!$D:$AM, 15, FALSE) / VLOOKUP("buildings|PM25|Asthma symptoms wheeze", US_national_yearly!$D:$AM, 10, FALSE), 1)</f>
        <v>0.16608675807616305</v>
      </c>
      <c r="H8" s="7">
        <f>$B8 * IFERROR(VLOOKUP("buildings|PM25|Asthma symptoms wheeze", US_national_yearly!$D:$AM, 16, FALSE) / VLOOKUP("buildings|PM25|Asthma symptoms wheeze", US_national_yearly!$D:$AM, 10, FALSE), 1)</f>
        <v>0.16608675807616305</v>
      </c>
      <c r="I8" s="7">
        <f>$B8 * IFERROR(VLOOKUP("buildings|PM25|Asthma symptoms wheeze", US_national_yearly!$D:$AM, 17, FALSE) / VLOOKUP("buildings|PM25|Asthma symptoms wheeze", US_national_yearly!$D:$AM, 10, FALSE), 1)</f>
        <v>0.16608675807616305</v>
      </c>
      <c r="J8" s="7">
        <f>$B8 * IFERROR(VLOOKUP("buildings|PM25|Asthma symptoms wheeze", US_national_yearly!$D:$AM, 18, FALSE) / VLOOKUP("buildings|PM25|Asthma symptoms wheeze", US_national_yearly!$D:$AM, 10, FALSE), 1)</f>
        <v>0.16608675807616305</v>
      </c>
      <c r="K8" s="7">
        <f>$B8 * IFERROR(VLOOKUP("buildings|PM25|Asthma symptoms wheeze", US_national_yearly!$D:$AM, 19, FALSE) / VLOOKUP("buildings|PM25|Asthma symptoms wheeze", US_national_yearly!$D:$AM, 10, FALSE), 1)</f>
        <v>0.16608675807616305</v>
      </c>
      <c r="L8" s="7">
        <f>$B8 * IFERROR(VLOOKUP("buildings|PM25|Asthma symptoms wheeze", US_national_yearly!$D:$AM, 20, FALSE) / VLOOKUP("buildings|PM25|Asthma symptoms wheeze", US_national_yearly!$D:$AM, 10, FALSE), 1)</f>
        <v>0.16608675807616305</v>
      </c>
      <c r="M8" s="7">
        <f>$B8 * IFERROR(VLOOKUP("buildings|PM25|Asthma symptoms wheeze", US_national_yearly!$D:$AM, 21, FALSE) / VLOOKUP("buildings|PM25|Asthma symptoms wheeze", US_national_yearly!$D:$AM, 10, FALSE), 1)</f>
        <v>0.16608675807616305</v>
      </c>
      <c r="N8" s="7">
        <f>$B8 * IFERROR(VLOOKUP("buildings|PM25|Asthma symptoms wheeze", US_national_yearly!$D:$AM, 22, FALSE) / VLOOKUP("buildings|PM25|Asthma symptoms wheeze", US_national_yearly!$D:$AM, 10, FALSE), 1)</f>
        <v>0.16608675807616305</v>
      </c>
      <c r="O8" s="7">
        <f>$B8 * IFERROR(VLOOKUP("buildings|PM25|Asthma symptoms wheeze", US_national_yearly!$D:$AM, 23, FALSE) / VLOOKUP("buildings|PM25|Asthma symptoms wheeze", US_national_yearly!$D:$AM, 10, FALSE), 1)</f>
        <v>0.16608675807616305</v>
      </c>
      <c r="P8" s="7">
        <f>$B8 * IFERROR(VLOOKUP("buildings|PM25|Asthma symptoms wheeze", US_national_yearly!$D:$AM, 24, FALSE) / VLOOKUP("buildings|PM25|Asthma symptoms wheeze", US_national_yearly!$D:$AM, 10, FALSE), 1)</f>
        <v>0.16608675807616305</v>
      </c>
      <c r="Q8" s="7">
        <f>$B8 * IFERROR(VLOOKUP("buildings|PM25|Asthma symptoms wheeze", US_national_yearly!$D:$AM, 25, FALSE) / VLOOKUP("buildings|PM25|Asthma symptoms wheeze", US_national_yearly!$D:$AM, 10, FALSE), 1)</f>
        <v>0.16608675807616305</v>
      </c>
      <c r="R8" s="7">
        <f>$B8 * IFERROR(VLOOKUP("buildings|PM25|Asthma symptoms wheeze", US_national_yearly!$D:$AM, 26, FALSE) / VLOOKUP("buildings|PM25|Asthma symptoms wheeze", US_national_yearly!$D:$AM, 10, FALSE), 1)</f>
        <v>0.16608675807616305</v>
      </c>
      <c r="S8" s="7">
        <f>$B8 * IFERROR(VLOOKUP("buildings|PM25|Asthma symptoms wheeze", US_national_yearly!$D:$AM, 27, FALSE) / VLOOKUP("buildings|PM25|Asthma symptoms wheeze", US_national_yearly!$D:$AM, 10, FALSE), 1)</f>
        <v>0.16608675807616305</v>
      </c>
      <c r="T8" s="7">
        <f>$B8 * IFERROR(VLOOKUP("buildings|PM25|Asthma symptoms wheeze", US_national_yearly!$D:$AM, 28, FALSE) / VLOOKUP("buildings|PM25|Asthma symptoms wheeze", US_national_yearly!$D:$AM, 10, FALSE), 1)</f>
        <v>0.16608675807616305</v>
      </c>
      <c r="U8" s="7">
        <f>$B8 * IFERROR(VLOOKUP("buildings|PM25|Asthma symptoms wheeze", US_national_yearly!$D:$AM, 29, FALSE) / VLOOKUP("buildings|PM25|Asthma symptoms wheeze", US_national_yearly!$D:$AM, 10, FALSE), 1)</f>
        <v>0.16608675807616305</v>
      </c>
      <c r="V8" s="7">
        <f>$B8 * IFERROR(VLOOKUP("buildings|PM25|Asthma symptoms wheeze", US_national_yearly!$D:$AM, 30, FALSE) / VLOOKUP("buildings|PM25|Asthma symptoms wheeze", US_national_yearly!$D:$AM, 10, FALSE), 1)</f>
        <v>0.16608675807616305</v>
      </c>
      <c r="W8" s="7">
        <f>$B8 * IFERROR(VLOOKUP("buildings|PM25|Asthma symptoms wheeze", US_national_yearly!$D:$AM, 31, FALSE) / VLOOKUP("buildings|PM25|Asthma symptoms wheeze", US_national_yearly!$D:$AM, 10, FALSE), 1)</f>
        <v>0.16608675807616305</v>
      </c>
      <c r="X8" s="7">
        <f>$B8 * IFERROR(VLOOKUP("buildings|PM25|Asthma symptoms wheeze", US_national_yearly!$D:$AM, 32, FALSE) / VLOOKUP("buildings|PM25|Asthma symptoms wheeze", US_national_yearly!$D:$AM, 10, FALSE), 1)</f>
        <v>0.16608675807616305</v>
      </c>
      <c r="Y8" s="7">
        <f>$B8 * IFERROR(VLOOKUP("buildings|PM25|Asthma symptoms wheeze", US_national_yearly!$D:$AM, 33, FALSE) / VLOOKUP("buildings|PM25|Asthma symptoms wheeze", US_national_yearly!$D:$AM, 10, FALSE), 1)</f>
        <v>0.16608675807616305</v>
      </c>
      <c r="Z8" s="7">
        <f>$B8 * IFERROR(VLOOKUP("buildings|PM25|Asthma symptoms wheeze", US_national_yearly!$D:$AM, 34, FALSE) / VLOOKUP("buildings|PM25|Asthma symptoms wheeze", US_national_yearly!$D:$AM, 10, FALSE), 1)</f>
        <v>0.16608675807616305</v>
      </c>
      <c r="AA8" s="7">
        <f>$B8 * IFERROR(VLOOKUP("buildings|PM25|Asthma symptoms wheeze", US_national_yearly!$D:$AM, 35, FALSE) / VLOOKUP("buildings|PM25|Asthma symptoms wheeze", US_national_yearly!$D:$AM, 10, FALSE), 1)</f>
        <v>0.16608675807616305</v>
      </c>
      <c r="AB8" s="7">
        <f>$B8 * IFERROR(VLOOKUP("buildings|PM25|Asthma symptoms wheeze", US_national_yearly!$D:$AM, 36, FALSE) / VLOOKUP("buildings|PM25|Asthma symptoms wheeze", US_national_yearly!$D:$AM, 10, FALSE), 1)</f>
        <v>0.16608675807616305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1.6419535417445442E-3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1.6514180349623449E-3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1.6608825281801459E-3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1.6703470213979468E-3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1.6798115146157478E-3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1.6900245796672522E-3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1.7002376447187567E-3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1.709951193132617E-3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1.7196647415464773E-3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1.7293782899603374E-3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1.7390918383741977E-3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1.7488053867880579E-3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1.755792059450713E-3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1.7627787321133682E-3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1.7697654047760234E-3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1.7767520774386784E-3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1.7837387501013335E-3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1.7903954625458267E-3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1.7970521749903206E-3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1.8037088874348136E-3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1.8103655998793066E-3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1.8170223123238005E-3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1.8234516413366932E-3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1.8298809703495861E-3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1.8363102993624789E-3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1.8427396283753721E-3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1.8491689573882646E-3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1.1406693415435964E-2</v>
      </c>
      <c r="C13" s="7">
        <f>$B13 * IFERROR(VLOOKUP("buildings|PM25|Non-fatal heart attacks", US_national_yearly!$D:$AM, 11, FALSE) / VLOOKUP("buildings|PM25|Non-fatal heart attacks", US_national_yearly!$D:$AM, 10, FALSE), 1)</f>
        <v>1.1738473234214919E-2</v>
      </c>
      <c r="D13" s="7">
        <f>$B13 * IFERROR(VLOOKUP("buildings|PM25|Non-fatal heart attacks", US_national_yearly!$D:$AM, 12, FALSE) / VLOOKUP("buildings|PM25|Non-fatal heart attacks", US_national_yearly!$D:$AM, 10, FALSE), 1)</f>
        <v>1.2070253052993871E-2</v>
      </c>
      <c r="E13" s="7">
        <f>$B13 * IFERROR(VLOOKUP("buildings|PM25|Non-fatal heart attacks", US_national_yearly!$D:$AM, 13, FALSE) / VLOOKUP("buildings|PM25|Non-fatal heart attacks", US_national_yearly!$D:$AM, 10, FALSE), 1)</f>
        <v>1.2402032871772824E-2</v>
      </c>
      <c r="F13" s="7">
        <f>$B13 * IFERROR(VLOOKUP("buildings|PM25|Non-fatal heart attacks", US_national_yearly!$D:$AM, 14, FALSE) / VLOOKUP("buildings|PM25|Non-fatal heart attacks", US_national_yearly!$D:$AM, 10, FALSE), 1)</f>
        <v>1.2733812690551778E-2</v>
      </c>
      <c r="G13" s="7">
        <f>$B13 * IFERROR(VLOOKUP("buildings|PM25|Non-fatal heart attacks", US_national_yearly!$D:$AM, 15, FALSE) / VLOOKUP("buildings|PM25|Non-fatal heart attacks", US_national_yearly!$D:$AM, 10, FALSE), 1)</f>
        <v>1.3046865899229817E-2</v>
      </c>
      <c r="H13" s="7">
        <f>$B13 * IFERROR(VLOOKUP("buildings|PM25|Non-fatal heart attacks", US_national_yearly!$D:$AM, 16, FALSE) / VLOOKUP("buildings|PM25|Non-fatal heart attacks", US_national_yearly!$D:$AM, 10, FALSE), 1)</f>
        <v>1.3359919107907849E-2</v>
      </c>
      <c r="I13" s="7">
        <f>$B13 * IFERROR(VLOOKUP("buildings|PM25|Non-fatal heart attacks", US_national_yearly!$D:$AM, 17, FALSE) / VLOOKUP("buildings|PM25|Non-fatal heart attacks", US_national_yearly!$D:$AM, 10, FALSE), 1)</f>
        <v>1.3611794728769399E-2</v>
      </c>
      <c r="J13" s="7">
        <f>$B13 * IFERROR(VLOOKUP("buildings|PM25|Non-fatal heart attacks", US_national_yearly!$D:$AM, 18, FALSE) / VLOOKUP("buildings|PM25|Non-fatal heart attacks", US_national_yearly!$D:$AM, 10, FALSE), 1)</f>
        <v>1.3863670349630947E-2</v>
      </c>
      <c r="K13" s="7">
        <f>$B13 * IFERROR(VLOOKUP("buildings|PM25|Non-fatal heart attacks", US_national_yearly!$D:$AM, 19, FALSE) / VLOOKUP("buildings|PM25|Non-fatal heart attacks", US_national_yearly!$D:$AM, 10, FALSE), 1)</f>
        <v>1.4115545970492496E-2</v>
      </c>
      <c r="L13" s="7">
        <f>$B13 * IFERROR(VLOOKUP("buildings|PM25|Non-fatal heart attacks", US_national_yearly!$D:$AM, 20, FALSE) / VLOOKUP("buildings|PM25|Non-fatal heart attacks", US_national_yearly!$D:$AM, 10, FALSE), 1)</f>
        <v>1.4367421591354042E-2</v>
      </c>
      <c r="M13" s="7">
        <f>$B13 * IFERROR(VLOOKUP("buildings|PM25|Non-fatal heart attacks", US_national_yearly!$D:$AM, 21, FALSE) / VLOOKUP("buildings|PM25|Non-fatal heart attacks", US_national_yearly!$D:$AM, 10, FALSE), 1)</f>
        <v>1.461929721221559E-2</v>
      </c>
      <c r="N13" s="7">
        <f>$B13 * IFERROR(VLOOKUP("buildings|PM25|Non-fatal heart attacks", US_national_yearly!$D:$AM, 22, FALSE) / VLOOKUP("buildings|PM25|Non-fatal heart attacks", US_national_yearly!$D:$AM, 10, FALSE), 1)</f>
        <v>1.4782012798415225E-2</v>
      </c>
      <c r="O13" s="7">
        <f>$B13 * IFERROR(VLOOKUP("buildings|PM25|Non-fatal heart attacks", US_national_yearly!$D:$AM, 23, FALSE) / VLOOKUP("buildings|PM25|Non-fatal heart attacks", US_national_yearly!$D:$AM, 10, FALSE), 1)</f>
        <v>1.4944728384614856E-2</v>
      </c>
      <c r="P13" s="7">
        <f>$B13 * IFERROR(VLOOKUP("buildings|PM25|Non-fatal heart attacks", US_national_yearly!$D:$AM, 24, FALSE) / VLOOKUP("buildings|PM25|Non-fatal heart attacks", US_national_yearly!$D:$AM, 10, FALSE), 1)</f>
        <v>1.5107443970814489E-2</v>
      </c>
      <c r="Q13" s="7">
        <f>$B13 * IFERROR(VLOOKUP("buildings|PM25|Non-fatal heart attacks", US_national_yearly!$D:$AM, 25, FALSE) / VLOOKUP("buildings|PM25|Non-fatal heart attacks", US_national_yearly!$D:$AM, 10, FALSE), 1)</f>
        <v>1.5270159557014124E-2</v>
      </c>
      <c r="R13" s="7">
        <f>$B13 * IFERROR(VLOOKUP("buildings|PM25|Non-fatal heart attacks", US_national_yearly!$D:$AM, 26, FALSE) / VLOOKUP("buildings|PM25|Non-fatal heart attacks", US_national_yearly!$D:$AM, 10, FALSE), 1)</f>
        <v>1.5432875143213757E-2</v>
      </c>
      <c r="S13" s="7">
        <f>$B13 * IFERROR(VLOOKUP("buildings|PM25|Non-fatal heart attacks", US_national_yearly!$D:$AM, 27, FALSE) / VLOOKUP("buildings|PM25|Non-fatal heart attacks", US_national_yearly!$D:$AM, 10, FALSE), 1)</f>
        <v>1.5518936969368805E-2</v>
      </c>
      <c r="T13" s="7">
        <f>$B13 * IFERROR(VLOOKUP("buildings|PM25|Non-fatal heart attacks", US_national_yearly!$D:$AM, 28, FALSE) / VLOOKUP("buildings|PM25|Non-fatal heart attacks", US_national_yearly!$D:$AM, 10, FALSE), 1)</f>
        <v>1.5604998795523855E-2</v>
      </c>
      <c r="U13" s="7">
        <f>$B13 * IFERROR(VLOOKUP("buildings|PM25|Non-fatal heart attacks", US_national_yearly!$D:$AM, 29, FALSE) / VLOOKUP("buildings|PM25|Non-fatal heart attacks", US_national_yearly!$D:$AM, 10, FALSE), 1)</f>
        <v>1.5691060621678906E-2</v>
      </c>
      <c r="V13" s="7">
        <f>$B13 * IFERROR(VLOOKUP("buildings|PM25|Non-fatal heart attacks", US_national_yearly!$D:$AM, 30, FALSE) / VLOOKUP("buildings|PM25|Non-fatal heart attacks", US_national_yearly!$D:$AM, 10, FALSE), 1)</f>
        <v>1.5777122447833952E-2</v>
      </c>
      <c r="W13" s="7">
        <f>$B13 * IFERROR(VLOOKUP("buildings|PM25|Non-fatal heart attacks", US_national_yearly!$D:$AM, 31, FALSE) / VLOOKUP("buildings|PM25|Non-fatal heart attacks", US_national_yearly!$D:$AM, 10, FALSE), 1)</f>
        <v>1.5863184273989001E-2</v>
      </c>
      <c r="X13" s="7">
        <f>$B13 * IFERROR(VLOOKUP("buildings|PM25|Non-fatal heart attacks", US_national_yearly!$D:$AM, 32, FALSE) / VLOOKUP("buildings|PM25|Non-fatal heart attacks", US_national_yearly!$D:$AM, 10, FALSE), 1)</f>
        <v>1.5928683609504429E-2</v>
      </c>
      <c r="Y13" s="7">
        <f>$B13 * IFERROR(VLOOKUP("buildings|PM25|Non-fatal heart attacks", US_national_yearly!$D:$AM, 33, FALSE) / VLOOKUP("buildings|PM25|Non-fatal heart attacks", US_national_yearly!$D:$AM, 10, FALSE), 1)</f>
        <v>1.5994182945019857E-2</v>
      </c>
      <c r="Z13" s="7">
        <f>$B13 * IFERROR(VLOOKUP("buildings|PM25|Non-fatal heart attacks", US_national_yearly!$D:$AM, 34, FALSE) / VLOOKUP("buildings|PM25|Non-fatal heart attacks", US_national_yearly!$D:$AM, 10, FALSE), 1)</f>
        <v>1.6059682280535281E-2</v>
      </c>
      <c r="AA13" s="7">
        <f>$B13 * IFERROR(VLOOKUP("buildings|PM25|Non-fatal heart attacks", US_national_yearly!$D:$AM, 35, FALSE) / VLOOKUP("buildings|PM25|Non-fatal heart attacks", US_national_yearly!$D:$AM, 10, FALSE), 1)</f>
        <v>1.6125181616050709E-2</v>
      </c>
      <c r="AB13" s="7">
        <f>$B13 * IFERROR(VLOOKUP("buildings|PM25|Non-fatal heart attacks", US_national_yearly!$D:$AM, 36, FALSE) / VLOOKUP("buildings|PM25|Non-fatal heart attacks", US_national_yearly!$D:$AM, 10, FALSE), 1)</f>
        <v>1.6190680951566141E-2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10.068338431817944</v>
      </c>
      <c r="C14" s="7">
        <f>$B14 * IFERROR(VLOOKUP("buildings|PM25|Minor restricted activity days", US_national_yearly!$D:$AM, 11, FALSE) / VLOOKUP("buildings|PM25|Minor restricted activity days", US_national_yearly!$D:$AM, 10, FALSE), 1)</f>
        <v>10.093378953953659</v>
      </c>
      <c r="D14" s="7">
        <f>$B14 * IFERROR(VLOOKUP("buildings|PM25|Minor restricted activity days", US_national_yearly!$D:$AM, 12, FALSE) / VLOOKUP("buildings|PM25|Minor restricted activity days", US_national_yearly!$D:$AM, 10, FALSE), 1)</f>
        <v>10.118419476089374</v>
      </c>
      <c r="E14" s="7">
        <f>$B14 * IFERROR(VLOOKUP("buildings|PM25|Minor restricted activity days", US_national_yearly!$D:$AM, 13, FALSE) / VLOOKUP("buildings|PM25|Minor restricted activity days", US_national_yearly!$D:$AM, 10, FALSE), 1)</f>
        <v>10.14345999822509</v>
      </c>
      <c r="F14" s="7">
        <f>$B14 * IFERROR(VLOOKUP("buildings|PM25|Minor restricted activity days", US_national_yearly!$D:$AM, 14, FALSE) / VLOOKUP("buildings|PM25|Minor restricted activity days", US_national_yearly!$D:$AM, 10, FALSE), 1)</f>
        <v>10.168500520360803</v>
      </c>
      <c r="G14" s="7">
        <f>$B14 * IFERROR(VLOOKUP("buildings|PM25|Minor restricted activity days", US_national_yearly!$D:$AM, 15, FALSE) / VLOOKUP("buildings|PM25|Minor restricted activity days", US_national_yearly!$D:$AM, 10, FALSE), 1)</f>
        <v>10.205227363487721</v>
      </c>
      <c r="H14" s="7">
        <f>$B14 * IFERROR(VLOOKUP("buildings|PM25|Minor restricted activity days", US_national_yearly!$D:$AM, 16, FALSE) / VLOOKUP("buildings|PM25|Minor restricted activity days", US_national_yearly!$D:$AM, 10, FALSE), 1)</f>
        <v>10.241954206614635</v>
      </c>
      <c r="I14" s="7">
        <f>$B14 * IFERROR(VLOOKUP("buildings|PM25|Minor restricted activity days", US_national_yearly!$D:$AM, 17, FALSE) / VLOOKUP("buildings|PM25|Minor restricted activity days", US_national_yearly!$D:$AM, 10, FALSE), 1)</f>
        <v>10.304406326653151</v>
      </c>
      <c r="J14" s="7">
        <f>$B14 * IFERROR(VLOOKUP("buildings|PM25|Minor restricted activity days", US_national_yearly!$D:$AM, 18, FALSE) / VLOOKUP("buildings|PM25|Minor restricted activity days", US_national_yearly!$D:$AM, 10, FALSE), 1)</f>
        <v>10.366858446691673</v>
      </c>
      <c r="K14" s="7">
        <f>$B14 * IFERROR(VLOOKUP("buildings|PM25|Minor restricted activity days", US_national_yearly!$D:$AM, 19, FALSE) / VLOOKUP("buildings|PM25|Minor restricted activity days", US_national_yearly!$D:$AM, 10, FALSE), 1)</f>
        <v>10.429310566730184</v>
      </c>
      <c r="L14" s="7">
        <f>$B14 * IFERROR(VLOOKUP("buildings|PM25|Minor restricted activity days", US_national_yearly!$D:$AM, 20, FALSE) / VLOOKUP("buildings|PM25|Minor restricted activity days", US_national_yearly!$D:$AM, 10, FALSE), 1)</f>
        <v>10.491762686768698</v>
      </c>
      <c r="M14" s="7">
        <f>$B14 * IFERROR(VLOOKUP("buildings|PM25|Minor restricted activity days", US_national_yearly!$D:$AM, 21, FALSE) / VLOOKUP("buildings|PM25|Minor restricted activity days", US_national_yearly!$D:$AM, 10, FALSE), 1)</f>
        <v>10.554214806807213</v>
      </c>
      <c r="N14" s="7">
        <f>$B14 * IFERROR(VLOOKUP("buildings|PM25|Minor restricted activity days", US_national_yearly!$D:$AM, 22, FALSE) / VLOOKUP("buildings|PM25|Minor restricted activity days", US_national_yearly!$D:$AM, 10, FALSE), 1)</f>
        <v>10.63907217051031</v>
      </c>
      <c r="O14" s="7">
        <f>$B14 * IFERROR(VLOOKUP("buildings|PM25|Minor restricted activity days", US_national_yearly!$D:$AM, 23, FALSE) / VLOOKUP("buildings|PM25|Minor restricted activity days", US_national_yearly!$D:$AM, 10, FALSE), 1)</f>
        <v>10.723929534213404</v>
      </c>
      <c r="P14" s="7">
        <f>$B14 * IFERROR(VLOOKUP("buildings|PM25|Minor restricted activity days", US_national_yearly!$D:$AM, 24, FALSE) / VLOOKUP("buildings|PM25|Minor restricted activity days", US_national_yearly!$D:$AM, 10, FALSE), 1)</f>
        <v>10.8087868979165</v>
      </c>
      <c r="Q14" s="7">
        <f>$B14 * IFERROR(VLOOKUP("buildings|PM25|Minor restricted activity days", US_national_yearly!$D:$AM, 25, FALSE) / VLOOKUP("buildings|PM25|Minor restricted activity days", US_national_yearly!$D:$AM, 10, FALSE), 1)</f>
        <v>10.893644261619595</v>
      </c>
      <c r="R14" s="7">
        <f>$B14 * IFERROR(VLOOKUP("buildings|PM25|Minor restricted activity days", US_national_yearly!$D:$AM, 26, FALSE) / VLOOKUP("buildings|PM25|Minor restricted activity days", US_national_yearly!$D:$AM, 10, FALSE), 1)</f>
        <v>10.978501625322691</v>
      </c>
      <c r="S14" s="7">
        <f>$B14 * IFERROR(VLOOKUP("buildings|PM25|Minor restricted activity days", US_national_yearly!$D:$AM, 27, FALSE) / VLOOKUP("buildings|PM25|Minor restricted activity days", US_national_yearly!$D:$AM, 10, FALSE), 1)</f>
        <v>11.06388485469903</v>
      </c>
      <c r="T14" s="7">
        <f>$B14 * IFERROR(VLOOKUP("buildings|PM25|Minor restricted activity days", US_national_yearly!$D:$AM, 28, FALSE) / VLOOKUP("buildings|PM25|Minor restricted activity days", US_national_yearly!$D:$AM, 10, FALSE), 1)</f>
        <v>11.149268084075366</v>
      </c>
      <c r="U14" s="7">
        <f>$B14 * IFERROR(VLOOKUP("buildings|PM25|Minor restricted activity days", US_national_yearly!$D:$AM, 29, FALSE) / VLOOKUP("buildings|PM25|Minor restricted activity days", US_national_yearly!$D:$AM, 10, FALSE), 1)</f>
        <v>11.234651313451707</v>
      </c>
      <c r="V14" s="7">
        <f>$B14 * IFERROR(VLOOKUP("buildings|PM25|Minor restricted activity days", US_national_yearly!$D:$AM, 30, FALSE) / VLOOKUP("buildings|PM25|Minor restricted activity days", US_national_yearly!$D:$AM, 10, FALSE), 1)</f>
        <v>11.320034542828044</v>
      </c>
      <c r="W14" s="7">
        <f>$B14 * IFERROR(VLOOKUP("buildings|PM25|Minor restricted activity days", US_national_yearly!$D:$AM, 31, FALSE) / VLOOKUP("buildings|PM25|Minor restricted activity days", US_national_yearly!$D:$AM, 10, FALSE), 1)</f>
        <v>11.405417772204382</v>
      </c>
      <c r="X14" s="7">
        <f>$B14 * IFERROR(VLOOKUP("buildings|PM25|Minor restricted activity days", US_national_yearly!$D:$AM, 32, FALSE) / VLOOKUP("buildings|PM25|Minor restricted activity days", US_national_yearly!$D:$AM, 10, FALSE), 1)</f>
        <v>11.479556507594783</v>
      </c>
      <c r="Y14" s="7">
        <f>$B14 * IFERROR(VLOOKUP("buildings|PM25|Minor restricted activity days", US_national_yearly!$D:$AM, 33, FALSE) / VLOOKUP("buildings|PM25|Minor restricted activity days", US_national_yearly!$D:$AM, 10, FALSE), 1)</f>
        <v>11.553695242985178</v>
      </c>
      <c r="Z14" s="7">
        <f>$B14 * IFERROR(VLOOKUP("buildings|PM25|Minor restricted activity days", US_national_yearly!$D:$AM, 34, FALSE) / VLOOKUP("buildings|PM25|Minor restricted activity days", US_national_yearly!$D:$AM, 10, FALSE), 1)</f>
        <v>11.627833978375573</v>
      </c>
      <c r="AA14" s="7">
        <f>$B14 * IFERROR(VLOOKUP("buildings|PM25|Minor restricted activity days", US_national_yearly!$D:$AM, 35, FALSE) / VLOOKUP("buildings|PM25|Minor restricted activity days", US_national_yearly!$D:$AM, 10, FALSE), 1)</f>
        <v>11.70197271376597</v>
      </c>
      <c r="AB14" s="7">
        <f>$B14 * IFERROR(VLOOKUP("buildings|PM25|Minor restricted activity days", US_national_yearly!$D:$AM, 36, FALSE) / VLOOKUP("buildings|PM25|Minor restricted activity days", US_national_yearly!$D:$AM, 10, FALSE), 1)</f>
        <v>11.776111449156367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1.7148622529678341</v>
      </c>
      <c r="C15" s="7">
        <f>$B15 * IFERROR(VLOOKUP("buildings|PM25|Work loss days", US_national_yearly!$D:$AM, 11, FALSE) / VLOOKUP("buildings|PM25|Work loss days", US_national_yearly!$D:$AM, 10, FALSE), 1)</f>
        <v>1.7202438605450443</v>
      </c>
      <c r="D15" s="7">
        <f>$B15 * IFERROR(VLOOKUP("buildings|PM25|Work loss days", US_national_yearly!$D:$AM, 12, FALSE) / VLOOKUP("buildings|PM25|Work loss days", US_national_yearly!$D:$AM, 10, FALSE), 1)</f>
        <v>1.725625468122254</v>
      </c>
      <c r="E15" s="7">
        <f>$B15 * IFERROR(VLOOKUP("buildings|PM25|Work loss days", US_national_yearly!$D:$AM, 13, FALSE) / VLOOKUP("buildings|PM25|Work loss days", US_national_yearly!$D:$AM, 10, FALSE), 1)</f>
        <v>1.7310070756994638</v>
      </c>
      <c r="F15" s="7">
        <f>$B15 * IFERROR(VLOOKUP("buildings|PM25|Work loss days", US_national_yearly!$D:$AM, 14, FALSE) / VLOOKUP("buildings|PM25|Work loss days", US_national_yearly!$D:$AM, 10, FALSE), 1)</f>
        <v>1.7363886832766735</v>
      </c>
      <c r="G15" s="7">
        <f>$B15 * IFERROR(VLOOKUP("buildings|PM25|Work loss days", US_national_yearly!$D:$AM, 15, FALSE) / VLOOKUP("buildings|PM25|Work loss days", US_national_yearly!$D:$AM, 10, FALSE), 1)</f>
        <v>1.7434229266482089</v>
      </c>
      <c r="H15" s="7">
        <f>$B15 * IFERROR(VLOOKUP("buildings|PM25|Work loss days", US_national_yearly!$D:$AM, 16, FALSE) / VLOOKUP("buildings|PM25|Work loss days", US_national_yearly!$D:$AM, 10, FALSE), 1)</f>
        <v>1.750457170019744</v>
      </c>
      <c r="I15" s="7">
        <f>$B15 * IFERROR(VLOOKUP("buildings|PM25|Work loss days", US_national_yearly!$D:$AM, 17, FALSE) / VLOOKUP("buildings|PM25|Work loss days", US_national_yearly!$D:$AM, 10, FALSE), 1)</f>
        <v>1.7607881262423497</v>
      </c>
      <c r="J15" s="7">
        <f>$B15 * IFERROR(VLOOKUP("buildings|PM25|Work loss days", US_national_yearly!$D:$AM, 18, FALSE) / VLOOKUP("buildings|PM25|Work loss days", US_national_yearly!$D:$AM, 10, FALSE), 1)</f>
        <v>1.7711190824649554</v>
      </c>
      <c r="K15" s="7">
        <f>$B15 * IFERROR(VLOOKUP("buildings|PM25|Work loss days", US_national_yearly!$D:$AM, 19, FALSE) / VLOOKUP("buildings|PM25|Work loss days", US_national_yearly!$D:$AM, 10, FALSE), 1)</f>
        <v>1.7814500386875611</v>
      </c>
      <c r="L15" s="7">
        <f>$B15 * IFERROR(VLOOKUP("buildings|PM25|Work loss days", US_national_yearly!$D:$AM, 20, FALSE) / VLOOKUP("buildings|PM25|Work loss days", US_national_yearly!$D:$AM, 10, FALSE), 1)</f>
        <v>1.7917809949101668</v>
      </c>
      <c r="M15" s="7">
        <f>$B15 * IFERROR(VLOOKUP("buildings|PM25|Work loss days", US_national_yearly!$D:$AM, 21, FALSE) / VLOOKUP("buildings|PM25|Work loss days", US_national_yearly!$D:$AM, 10, FALSE), 1)</f>
        <v>1.802111951132773</v>
      </c>
      <c r="N15" s="7">
        <f>$B15 * IFERROR(VLOOKUP("buildings|PM25|Work loss days", US_national_yearly!$D:$AM, 22, FALSE) / VLOOKUP("buildings|PM25|Work loss days", US_national_yearly!$D:$AM, 10, FALSE), 1)</f>
        <v>1.8151007052341399</v>
      </c>
      <c r="O15" s="7">
        <f>$B15 * IFERROR(VLOOKUP("buildings|PM25|Work loss days", US_national_yearly!$D:$AM, 23, FALSE) / VLOOKUP("buildings|PM25|Work loss days", US_national_yearly!$D:$AM, 10, FALSE), 1)</f>
        <v>1.8280894593355073</v>
      </c>
      <c r="P15" s="7">
        <f>$B15 * IFERROR(VLOOKUP("buildings|PM25|Work loss days", US_national_yearly!$D:$AM, 24, FALSE) / VLOOKUP("buildings|PM25|Work loss days", US_national_yearly!$D:$AM, 10, FALSE), 1)</f>
        <v>1.8410782134368744</v>
      </c>
      <c r="Q15" s="7">
        <f>$B15 * IFERROR(VLOOKUP("buildings|PM25|Work loss days", US_national_yearly!$D:$AM, 25, FALSE) / VLOOKUP("buildings|PM25|Work loss days", US_national_yearly!$D:$AM, 10, FALSE), 1)</f>
        <v>1.8540669675382413</v>
      </c>
      <c r="R15" s="7">
        <f>$B15 * IFERROR(VLOOKUP("buildings|PM25|Work loss days", US_national_yearly!$D:$AM, 26, FALSE) / VLOOKUP("buildings|PM25|Work loss days", US_national_yearly!$D:$AM, 10, FALSE), 1)</f>
        <v>1.8670557216396086</v>
      </c>
      <c r="S15" s="7">
        <f>$B15 * IFERROR(VLOOKUP("buildings|PM25|Work loss days", US_national_yearly!$D:$AM, 27, FALSE) / VLOOKUP("buildings|PM25|Work loss days", US_national_yearly!$D:$AM, 10, FALSE), 1)</f>
        <v>1.8814034148312226</v>
      </c>
      <c r="T15" s="7">
        <f>$B15 * IFERROR(VLOOKUP("buildings|PM25|Work loss days", US_national_yearly!$D:$AM, 28, FALSE) / VLOOKUP("buildings|PM25|Work loss days", US_national_yearly!$D:$AM, 10, FALSE), 1)</f>
        <v>1.8957511080228369</v>
      </c>
      <c r="U15" s="7">
        <f>$B15 * IFERROR(VLOOKUP("buildings|PM25|Work loss days", US_national_yearly!$D:$AM, 29, FALSE) / VLOOKUP("buildings|PM25|Work loss days", US_national_yearly!$D:$AM, 10, FALSE), 1)</f>
        <v>1.9100988012144511</v>
      </c>
      <c r="V15" s="7">
        <f>$B15 * IFERROR(VLOOKUP("buildings|PM25|Work loss days", US_national_yearly!$D:$AM, 30, FALSE) / VLOOKUP("buildings|PM25|Work loss days", US_national_yearly!$D:$AM, 10, FALSE), 1)</f>
        <v>1.9244464944060651</v>
      </c>
      <c r="W15" s="7">
        <f>$B15 * IFERROR(VLOOKUP("buildings|PM25|Work loss days", US_national_yearly!$D:$AM, 31, FALSE) / VLOOKUP("buildings|PM25|Work loss days", US_national_yearly!$D:$AM, 10, FALSE), 1)</f>
        <v>1.9387941875976793</v>
      </c>
      <c r="X15" s="7">
        <f>$B15 * IFERROR(VLOOKUP("buildings|PM25|Work loss days", US_national_yearly!$D:$AM, 32, FALSE) / VLOOKUP("buildings|PM25|Work loss days", US_national_yearly!$D:$AM, 10, FALSE), 1)</f>
        <v>1.9515263978350563</v>
      </c>
      <c r="Y15" s="7">
        <f>$B15 * IFERROR(VLOOKUP("buildings|PM25|Work loss days", US_national_yearly!$D:$AM, 33, FALSE) / VLOOKUP("buildings|PM25|Work loss days", US_national_yearly!$D:$AM, 10, FALSE), 1)</f>
        <v>1.9642586080724336</v>
      </c>
      <c r="Z15" s="7">
        <f>$B15 * IFERROR(VLOOKUP("buildings|PM25|Work loss days", US_national_yearly!$D:$AM, 34, FALSE) / VLOOKUP("buildings|PM25|Work loss days", US_national_yearly!$D:$AM, 10, FALSE), 1)</f>
        <v>1.9769908183098106</v>
      </c>
      <c r="AA15" s="7">
        <f>$B15 * IFERROR(VLOOKUP("buildings|PM25|Work loss days", US_national_yearly!$D:$AM, 35, FALSE) / VLOOKUP("buildings|PM25|Work loss days", US_national_yearly!$D:$AM, 10, FALSE), 1)</f>
        <v>1.9897230285471879</v>
      </c>
      <c r="AB15" s="7">
        <f>$B15 * IFERROR(VLOOKUP("buildings|PM25|Work loss days", US_national_yearly!$D:$AM, 36, FALSE) / VLOOKUP("buildings|PM25|Work loss days", US_national_yearly!$D:$AM, 10, FALSE), 1)</f>
        <v>2.0024552387845649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2.180478944920774E-3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2.2456454946504019E-3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2.3108120443800294E-3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2.3759785941096568E-3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2.4411451438392847E-3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2.5035845628232057E-3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2.5660239818071262E-3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2.6194778693901994E-3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2.6729317569732726E-3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2.7263856445563458E-3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2.7798395321394194E-3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2.8332934197224931E-3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2.8689872958930023E-3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2.9046811720635115E-3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2.9403750482340208E-3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2.9760689244045305E-3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3.0117628005750393E-3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3.0307293284899425E-3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3.0496958564048449E-3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3.0686623843197477E-3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3.08762891223465E-3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3.1065954401495537E-3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3.1194197811950123E-3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3.132244122240471E-3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3.14506846328593E-3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3.1578928043313886E-3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3.1707171453768477E-3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1.3339616407182567E-3</v>
      </c>
      <c r="C2" s="7">
        <f>$B2 * IFERROR(VLOOKUP("buildings|NOx|Premature mortality", US_national_yearly!$D:$AM, 11, FALSE) / VLOOKUP("buildings|NOx|Premature mortality", US_national_yearly!$D:$AM, 10, FALSE), 1)</f>
        <v>1.3535824608766336E-3</v>
      </c>
      <c r="D2" s="7">
        <f>$B2 * IFERROR(VLOOKUP("buildings|NOx|Premature mortality", US_national_yearly!$D:$AM, 12, FALSE) / VLOOKUP("buildings|NOx|Premature mortality", US_national_yearly!$D:$AM, 10, FALSE), 1)</f>
        <v>1.3732032810350103E-3</v>
      </c>
      <c r="E2" s="7">
        <f>$B2 * IFERROR(VLOOKUP("buildings|NOx|Premature mortality", US_national_yearly!$D:$AM, 13, FALSE) / VLOOKUP("buildings|NOx|Premature mortality", US_national_yearly!$D:$AM, 10, FALSE), 1)</f>
        <v>1.3928241011933872E-3</v>
      </c>
      <c r="F2" s="7">
        <f>$B2 * IFERROR(VLOOKUP("buildings|NOx|Premature mortality", US_national_yearly!$D:$AM, 14, FALSE) / VLOOKUP("buildings|NOx|Premature mortality", US_national_yearly!$D:$AM, 10, FALSE), 1)</f>
        <v>1.4124449213517639E-3</v>
      </c>
      <c r="G2" s="7">
        <f>$B2 * IFERROR(VLOOKUP("buildings|NOx|Premature mortality", US_national_yearly!$D:$AM, 15, FALSE) / VLOOKUP("buildings|NOx|Premature mortality", US_national_yearly!$D:$AM, 10, FALSE), 1)</f>
        <v>1.447671403538846E-3</v>
      </c>
      <c r="H2" s="7">
        <f>$B2 * IFERROR(VLOOKUP("buildings|NOx|Premature mortality", US_national_yearly!$D:$AM, 16, FALSE) / VLOOKUP("buildings|NOx|Premature mortality", US_national_yearly!$D:$AM, 10, FALSE), 1)</f>
        <v>1.4828978857259285E-3</v>
      </c>
      <c r="I2" s="7">
        <f>$B2 * IFERROR(VLOOKUP("buildings|NOx|Premature mortality", US_national_yearly!$D:$AM, 17, FALSE) / VLOOKUP("buildings|NOx|Premature mortality", US_national_yearly!$D:$AM, 10, FALSE), 1)</f>
        <v>1.5056631360904661E-3</v>
      </c>
      <c r="J2" s="7">
        <f>$B2 * IFERROR(VLOOKUP("buildings|NOx|Premature mortality", US_national_yearly!$D:$AM, 18, FALSE) / VLOOKUP("buildings|NOx|Premature mortality", US_national_yearly!$D:$AM, 10, FALSE), 1)</f>
        <v>1.5284283864550033E-3</v>
      </c>
      <c r="K2" s="7">
        <f>$B2 * IFERROR(VLOOKUP("buildings|NOx|Premature mortality", US_national_yearly!$D:$AM, 19, FALSE) / VLOOKUP("buildings|NOx|Premature mortality", US_national_yearly!$D:$AM, 10, FALSE), 1)</f>
        <v>1.5511936368195409E-3</v>
      </c>
      <c r="L2" s="7">
        <f>$B2 * IFERROR(VLOOKUP("buildings|NOx|Premature mortality", US_national_yearly!$D:$AM, 20, FALSE) / VLOOKUP("buildings|NOx|Premature mortality", US_national_yearly!$D:$AM, 10, FALSE), 1)</f>
        <v>1.5739588871840782E-3</v>
      </c>
      <c r="M2" s="7">
        <f>$B2 * IFERROR(VLOOKUP("buildings|NOx|Premature mortality", US_national_yearly!$D:$AM, 21, FALSE) / VLOOKUP("buildings|NOx|Premature mortality", US_national_yearly!$D:$AM, 10, FALSE), 1)</f>
        <v>1.5967241375486158E-3</v>
      </c>
      <c r="N2" s="7">
        <f>$B2 * IFERROR(VLOOKUP("buildings|NOx|Premature mortality", US_national_yearly!$D:$AM, 22, FALSE) / VLOOKUP("buildings|NOx|Premature mortality", US_national_yearly!$D:$AM, 10, FALSE), 1)</f>
        <v>1.6135923190487601E-3</v>
      </c>
      <c r="O2" s="7">
        <f>$B2 * IFERROR(VLOOKUP("buildings|NOx|Premature mortality", US_national_yearly!$D:$AM, 23, FALSE) / VLOOKUP("buildings|NOx|Premature mortality", US_national_yearly!$D:$AM, 10, FALSE), 1)</f>
        <v>1.6304605005489047E-3</v>
      </c>
      <c r="P2" s="7">
        <f>$B2 * IFERROR(VLOOKUP("buildings|NOx|Premature mortality", US_national_yearly!$D:$AM, 24, FALSE) / VLOOKUP("buildings|NOx|Premature mortality", US_national_yearly!$D:$AM, 10, FALSE), 1)</f>
        <v>1.6473286820490492E-3</v>
      </c>
      <c r="Q2" s="7">
        <f>$B2 * IFERROR(VLOOKUP("buildings|NOx|Premature mortality", US_national_yearly!$D:$AM, 25, FALSE) / VLOOKUP("buildings|NOx|Premature mortality", US_national_yearly!$D:$AM, 10, FALSE), 1)</f>
        <v>1.6641968635491935E-3</v>
      </c>
      <c r="R2" s="7">
        <f>$B2 * IFERROR(VLOOKUP("buildings|NOx|Premature mortality", US_national_yearly!$D:$AM, 26, FALSE) / VLOOKUP("buildings|NOx|Premature mortality", US_national_yearly!$D:$AM, 10, FALSE), 1)</f>
        <v>1.6810650450493382E-3</v>
      </c>
      <c r="S2" s="7">
        <f>$B2 * IFERROR(VLOOKUP("buildings|NOx|Premature mortality", US_national_yearly!$D:$AM, 27, FALSE) / VLOOKUP("buildings|NOx|Premature mortality", US_national_yearly!$D:$AM, 10, FALSE), 1)</f>
        <v>1.6887339853989157E-3</v>
      </c>
      <c r="T2" s="7">
        <f>$B2 * IFERROR(VLOOKUP("buildings|NOx|Premature mortality", US_national_yearly!$D:$AM, 28, FALSE) / VLOOKUP("buildings|NOx|Premature mortality", US_national_yearly!$D:$AM, 10, FALSE), 1)</f>
        <v>1.6964029257484931E-3</v>
      </c>
      <c r="U2" s="7">
        <f>$B2 * IFERROR(VLOOKUP("buildings|NOx|Premature mortality", US_national_yearly!$D:$AM, 29, FALSE) / VLOOKUP("buildings|NOx|Premature mortality", US_national_yearly!$D:$AM, 10, FALSE), 1)</f>
        <v>1.7040718660980708E-3</v>
      </c>
      <c r="V2" s="7">
        <f>$B2 * IFERROR(VLOOKUP("buildings|NOx|Premature mortality", US_national_yearly!$D:$AM, 30, FALSE) / VLOOKUP("buildings|NOx|Premature mortality", US_national_yearly!$D:$AM, 10, FALSE), 1)</f>
        <v>1.7117408064476483E-3</v>
      </c>
      <c r="W2" s="7">
        <f>$B2 * IFERROR(VLOOKUP("buildings|NOx|Premature mortality", US_national_yearly!$D:$AM, 31, FALSE) / VLOOKUP("buildings|NOx|Premature mortality", US_national_yearly!$D:$AM, 10, FALSE), 1)</f>
        <v>1.7194097467972257E-3</v>
      </c>
      <c r="X2" s="7">
        <f>$B2 * IFERROR(VLOOKUP("buildings|NOx|Premature mortality", US_national_yearly!$D:$AM, 32, FALSE) / VLOOKUP("buildings|NOx|Premature mortality", US_national_yearly!$D:$AM, 10, FALSE), 1)</f>
        <v>1.7196798406248586E-3</v>
      </c>
      <c r="Y2" s="7">
        <f>$B2 * IFERROR(VLOOKUP("buildings|NOx|Premature mortality", US_national_yearly!$D:$AM, 33, FALSE) / VLOOKUP("buildings|NOx|Premature mortality", US_national_yearly!$D:$AM, 10, FALSE), 1)</f>
        <v>1.7199499344524912E-3</v>
      </c>
      <c r="Z2" s="7">
        <f>$B2 * IFERROR(VLOOKUP("buildings|NOx|Premature mortality", US_national_yearly!$D:$AM, 34, FALSE) / VLOOKUP("buildings|NOx|Premature mortality", US_national_yearly!$D:$AM, 10, FALSE), 1)</f>
        <v>1.7202200282801241E-3</v>
      </c>
      <c r="AA2" s="7">
        <f>$B2 * IFERROR(VLOOKUP("buildings|NOx|Premature mortality", US_national_yearly!$D:$AM, 35, FALSE) / VLOOKUP("buildings|NOx|Premature mortality", US_national_yearly!$D:$AM, 10, FALSE), 1)</f>
        <v>1.7204901221077567E-3</v>
      </c>
      <c r="AB2" s="7">
        <f>$B2 * IFERROR(VLOOKUP("buildings|NOx|Premature mortality", US_national_yearly!$D:$AM, 36, FALSE) / VLOOKUP("buildings|NOx|Premature mortality", US_national_yearly!$D:$AM, 10, FALSE), 1)</f>
        <v>1.7207602159353898E-3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3.610585921229924E-6</v>
      </c>
      <c r="C3" s="7">
        <f>$B3 * IFERROR(VLOOKUP("buildings|NOx|Infant mortality", US_national_yearly!$D:$AM, 11, FALSE) / VLOOKUP("buildings|NOx|Infant mortality", US_national_yearly!$D:$AM, 10, FALSE), 1)</f>
        <v>3.5762895924938896E-6</v>
      </c>
      <c r="D3" s="7">
        <f>$B3 * IFERROR(VLOOKUP("buildings|NOx|Infant mortality", US_national_yearly!$D:$AM, 12, FALSE) / VLOOKUP("buildings|NOx|Infant mortality", US_national_yearly!$D:$AM, 10, FALSE), 1)</f>
        <v>3.5419932637578543E-6</v>
      </c>
      <c r="E3" s="7">
        <f>$B3 * IFERROR(VLOOKUP("buildings|NOx|Infant mortality", US_national_yearly!$D:$AM, 13, FALSE) / VLOOKUP("buildings|NOx|Infant mortality", US_national_yearly!$D:$AM, 10, FALSE), 1)</f>
        <v>3.5076969350218195E-6</v>
      </c>
      <c r="F3" s="7">
        <f>$B3 * IFERROR(VLOOKUP("buildings|NOx|Infant mortality", US_national_yearly!$D:$AM, 14, FALSE) / VLOOKUP("buildings|NOx|Infant mortality", US_national_yearly!$D:$AM, 10, FALSE), 1)</f>
        <v>3.4734006062857842E-6</v>
      </c>
      <c r="G3" s="7">
        <f>$B3 * IFERROR(VLOOKUP("buildings|NOx|Infant mortality", US_national_yearly!$D:$AM, 15, FALSE) / VLOOKUP("buildings|NOx|Infant mortality", US_national_yearly!$D:$AM, 10, FALSE), 1)</f>
        <v>2.3054260511338216E-6</v>
      </c>
      <c r="H3" s="7">
        <f>$B3 * IFERROR(VLOOKUP("buildings|NOx|Infant mortality", US_national_yearly!$D:$AM, 16, FALSE) / VLOOKUP("buildings|NOx|Infant mortality", US_national_yearly!$D:$AM, 10, FALSE), 1)</f>
        <v>1.137451495981859E-6</v>
      </c>
      <c r="I3" s="7">
        <f>$B3 * IFERROR(VLOOKUP("buildings|NOx|Infant mortality", US_national_yearly!$D:$AM, 17, FALSE) / VLOOKUP("buildings|NOx|Infant mortality", US_national_yearly!$D:$AM, 10, FALSE), 1)</f>
        <v>1.1294159034880457E-6</v>
      </c>
      <c r="J3" s="7">
        <f>$B3 * IFERROR(VLOOKUP("buildings|NOx|Infant mortality", US_national_yearly!$D:$AM, 18, FALSE) / VLOOKUP("buildings|NOx|Infant mortality", US_national_yearly!$D:$AM, 10, FALSE), 1)</f>
        <v>1.1213803109942321E-6</v>
      </c>
      <c r="K3" s="7">
        <f>$B3 * IFERROR(VLOOKUP("buildings|NOx|Infant mortality", US_national_yearly!$D:$AM, 19, FALSE) / VLOOKUP("buildings|NOx|Infant mortality", US_national_yearly!$D:$AM, 10, FALSE), 1)</f>
        <v>1.1133447185004188E-6</v>
      </c>
      <c r="L3" s="7">
        <f>$B3 * IFERROR(VLOOKUP("buildings|NOx|Infant mortality", US_national_yearly!$D:$AM, 20, FALSE) / VLOOKUP("buildings|NOx|Infant mortality", US_national_yearly!$D:$AM, 10, FALSE), 1)</f>
        <v>1.1053091260066053E-6</v>
      </c>
      <c r="M3" s="7">
        <f>$B3 * IFERROR(VLOOKUP("buildings|NOx|Infant mortality", US_national_yearly!$D:$AM, 21, FALSE) / VLOOKUP("buildings|NOx|Infant mortality", US_national_yearly!$D:$AM, 10, FALSE), 1)</f>
        <v>1.0972735335127917E-6</v>
      </c>
      <c r="N3" s="7">
        <f>$B3 * IFERROR(VLOOKUP("buildings|NOx|Infant mortality", US_national_yearly!$D:$AM, 22, FALSE) / VLOOKUP("buildings|NOx|Infant mortality", US_national_yearly!$D:$AM, 10, FALSE), 1)</f>
        <v>1.0919487962793776E-6</v>
      </c>
      <c r="O3" s="7">
        <f>$B3 * IFERROR(VLOOKUP("buildings|NOx|Infant mortality", US_national_yearly!$D:$AM, 23, FALSE) / VLOOKUP("buildings|NOx|Infant mortality", US_national_yearly!$D:$AM, 10, FALSE), 1)</f>
        <v>1.0866240590459634E-6</v>
      </c>
      <c r="P3" s="7">
        <f>$B3 * IFERROR(VLOOKUP("buildings|NOx|Infant mortality", US_national_yearly!$D:$AM, 24, FALSE) / VLOOKUP("buildings|NOx|Infant mortality", US_national_yearly!$D:$AM, 10, FALSE), 1)</f>
        <v>1.0812993218125493E-6</v>
      </c>
      <c r="Q3" s="7">
        <f>$B3 * IFERROR(VLOOKUP("buildings|NOx|Infant mortality", US_national_yearly!$D:$AM, 25, FALSE) / VLOOKUP("buildings|NOx|Infant mortality", US_national_yearly!$D:$AM, 10, FALSE), 1)</f>
        <v>1.0759745845791351E-6</v>
      </c>
      <c r="R3" s="7">
        <f>$B3 * IFERROR(VLOOKUP("buildings|NOx|Infant mortality", US_national_yearly!$D:$AM, 26, FALSE) / VLOOKUP("buildings|NOx|Infant mortality", US_national_yearly!$D:$AM, 10, FALSE), 1)</f>
        <v>1.070649847345721E-6</v>
      </c>
      <c r="S3" s="7">
        <f>$B3 * IFERROR(VLOOKUP("buildings|NOx|Infant mortality", US_national_yearly!$D:$AM, 27, FALSE) / VLOOKUP("buildings|NOx|Infant mortality", US_national_yearly!$D:$AM, 10, FALSE), 1)</f>
        <v>1.0642445285333327E-6</v>
      </c>
      <c r="T3" s="7">
        <f>$B3 * IFERROR(VLOOKUP("buildings|NOx|Infant mortality", US_national_yearly!$D:$AM, 28, FALSE) / VLOOKUP("buildings|NOx|Infant mortality", US_national_yearly!$D:$AM, 10, FALSE), 1)</f>
        <v>1.0578392097209446E-6</v>
      </c>
      <c r="U3" s="7">
        <f>$B3 * IFERROR(VLOOKUP("buildings|NOx|Infant mortality", US_national_yearly!$D:$AM, 29, FALSE) / VLOOKUP("buildings|NOx|Infant mortality", US_national_yearly!$D:$AM, 10, FALSE), 1)</f>
        <v>1.051433890908556E-6</v>
      </c>
      <c r="V3" s="7">
        <f>$B3 * IFERROR(VLOOKUP("buildings|NOx|Infant mortality", US_national_yearly!$D:$AM, 30, FALSE) / VLOOKUP("buildings|NOx|Infant mortality", US_national_yearly!$D:$AM, 10, FALSE), 1)</f>
        <v>1.0450285720961677E-6</v>
      </c>
      <c r="W3" s="7">
        <f>$B3 * IFERROR(VLOOKUP("buildings|NOx|Infant mortality", US_national_yearly!$D:$AM, 31, FALSE) / VLOOKUP("buildings|NOx|Infant mortality", US_national_yearly!$D:$AM, 10, FALSE), 1)</f>
        <v>1.0386232532837796E-6</v>
      </c>
      <c r="X3" s="7">
        <f>$B3 * IFERROR(VLOOKUP("buildings|NOx|Infant mortality", US_national_yearly!$D:$AM, 32, FALSE) / VLOOKUP("buildings|NOx|Infant mortality", US_national_yearly!$D:$AM, 10, FALSE), 1)</f>
        <v>1.0318458645916827E-6</v>
      </c>
      <c r="Y3" s="7">
        <f>$B3 * IFERROR(VLOOKUP("buildings|NOx|Infant mortality", US_national_yearly!$D:$AM, 33, FALSE) / VLOOKUP("buildings|NOx|Infant mortality", US_national_yearly!$D:$AM, 10, FALSE), 1)</f>
        <v>1.0250684758995859E-6</v>
      </c>
      <c r="Z3" s="7">
        <f>$B3 * IFERROR(VLOOKUP("buildings|NOx|Infant mortality", US_national_yearly!$D:$AM, 34, FALSE) / VLOOKUP("buildings|NOx|Infant mortality", US_national_yearly!$D:$AM, 10, FALSE), 1)</f>
        <v>1.018291087207489E-6</v>
      </c>
      <c r="AA3" s="7">
        <f>$B3 * IFERROR(VLOOKUP("buildings|NOx|Infant mortality", US_national_yearly!$D:$AM, 35, FALSE) / VLOOKUP("buildings|NOx|Infant mortality", US_national_yearly!$D:$AM, 10, FALSE), 1)</f>
        <v>1.0115136985153921E-6</v>
      </c>
      <c r="AB3" s="7">
        <f>$B3 * IFERROR(VLOOKUP("buildings|NOx|Infant mortality", US_national_yearly!$D:$AM, 36, FALSE) / VLOOKUP("buildings|NOx|Infant mortality", US_national_yearly!$D:$AM, 10, FALSE), 1)</f>
        <v>1.0047363098232953E-6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4.1526710014067108E-3</v>
      </c>
      <c r="C6" s="7">
        <f>$B6 * IFERROR(VLOOKUP("buildings|NOx|Asthma symptoms cough", US_national_yearly!$D:$AM, 11, FALSE) / VLOOKUP("buildings|NOx|Asthma symptoms cough", US_national_yearly!$D:$AM, 10, FALSE), 1)</f>
        <v>4.2095014351717615E-3</v>
      </c>
      <c r="D6" s="7">
        <f>$B6 * IFERROR(VLOOKUP("buildings|NOx|Asthma symptoms cough", US_national_yearly!$D:$AM, 12, FALSE) / VLOOKUP("buildings|NOx|Asthma symptoms cough", US_national_yearly!$D:$AM, 10, FALSE), 1)</f>
        <v>4.2663318689368122E-3</v>
      </c>
      <c r="E6" s="7">
        <f>$B6 * IFERROR(VLOOKUP("buildings|NOx|Asthma symptoms cough", US_national_yearly!$D:$AM, 13, FALSE) / VLOOKUP("buildings|NOx|Asthma symptoms cough", US_national_yearly!$D:$AM, 10, FALSE), 1)</f>
        <v>4.3231623027018629E-3</v>
      </c>
      <c r="F6" s="7">
        <f>$B6 * IFERROR(VLOOKUP("buildings|NOx|Asthma symptoms cough", US_national_yearly!$D:$AM, 14, FALSE) / VLOOKUP("buildings|NOx|Asthma symptoms cough", US_national_yearly!$D:$AM, 10, FALSE), 1)</f>
        <v>4.3799927364669136E-3</v>
      </c>
      <c r="G6" s="7">
        <f>$B6 * IFERROR(VLOOKUP("buildings|NOx|Asthma symptoms cough", US_national_yearly!$D:$AM, 15, FALSE) / VLOOKUP("buildings|NOx|Asthma symptoms cough", US_national_yearly!$D:$AM, 10, FALSE), 1)</f>
        <v>4.4254109019099715E-3</v>
      </c>
      <c r="H6" s="7">
        <f>$B6 * IFERROR(VLOOKUP("buildings|NOx|Asthma symptoms cough", US_national_yearly!$D:$AM, 16, FALSE) / VLOOKUP("buildings|NOx|Asthma symptoms cough", US_national_yearly!$D:$AM, 10, FALSE), 1)</f>
        <v>4.4708290673530294E-3</v>
      </c>
      <c r="I6" s="7">
        <f>$B6 * IFERROR(VLOOKUP("buildings|NOx|Asthma symptoms cough", US_national_yearly!$D:$AM, 17, FALSE) / VLOOKUP("buildings|NOx|Asthma symptoms cough", US_national_yearly!$D:$AM, 10, FALSE), 1)</f>
        <v>4.4865469529938766E-3</v>
      </c>
      <c r="J6" s="7">
        <f>$B6 * IFERROR(VLOOKUP("buildings|NOx|Asthma symptoms cough", US_national_yearly!$D:$AM, 18, FALSE) / VLOOKUP("buildings|NOx|Asthma symptoms cough", US_national_yearly!$D:$AM, 10, FALSE), 1)</f>
        <v>4.502264838634723E-3</v>
      </c>
      <c r="K6" s="7">
        <f>$B6 * IFERROR(VLOOKUP("buildings|NOx|Asthma symptoms cough", US_national_yearly!$D:$AM, 19, FALSE) / VLOOKUP("buildings|NOx|Asthma symptoms cough", US_national_yearly!$D:$AM, 10, FALSE), 1)</f>
        <v>4.5179827242755686E-3</v>
      </c>
      <c r="L6" s="7">
        <f>$B6 * IFERROR(VLOOKUP("buildings|NOx|Asthma symptoms cough", US_national_yearly!$D:$AM, 20, FALSE) / VLOOKUP("buildings|NOx|Asthma symptoms cough", US_national_yearly!$D:$AM, 10, FALSE), 1)</f>
        <v>4.5337006099164159E-3</v>
      </c>
      <c r="M6" s="7">
        <f>$B6 * IFERROR(VLOOKUP("buildings|NOx|Asthma symptoms cough", US_national_yearly!$D:$AM, 21, FALSE) / VLOOKUP("buildings|NOx|Asthma symptoms cough", US_national_yearly!$D:$AM, 10, FALSE), 1)</f>
        <v>4.5494184955572614E-3</v>
      </c>
      <c r="N6" s="7">
        <f>$B6 * IFERROR(VLOOKUP("buildings|NOx|Asthma symptoms cough", US_national_yearly!$D:$AM, 22, FALSE) / VLOOKUP("buildings|NOx|Asthma symptoms cough", US_national_yearly!$D:$AM, 10, FALSE), 1)</f>
        <v>4.5675932801885841E-3</v>
      </c>
      <c r="O6" s="7">
        <f>$B6 * IFERROR(VLOOKUP("buildings|NOx|Asthma symptoms cough", US_national_yearly!$D:$AM, 23, FALSE) / VLOOKUP("buildings|NOx|Asthma symptoms cough", US_national_yearly!$D:$AM, 10, FALSE), 1)</f>
        <v>4.5857680648199051E-3</v>
      </c>
      <c r="P6" s="7">
        <f>$B6 * IFERROR(VLOOKUP("buildings|NOx|Asthma symptoms cough", US_national_yearly!$D:$AM, 24, FALSE) / VLOOKUP("buildings|NOx|Asthma symptoms cough", US_national_yearly!$D:$AM, 10, FALSE), 1)</f>
        <v>4.603942849451227E-3</v>
      </c>
      <c r="Q6" s="7">
        <f>$B6 * IFERROR(VLOOKUP("buildings|NOx|Asthma symptoms cough", US_national_yearly!$D:$AM, 25, FALSE) / VLOOKUP("buildings|NOx|Asthma symptoms cough", US_national_yearly!$D:$AM, 10, FALSE), 1)</f>
        <v>4.6221176340825489E-3</v>
      </c>
      <c r="R6" s="7">
        <f>$B6 * IFERROR(VLOOKUP("buildings|NOx|Asthma symptoms cough", US_national_yearly!$D:$AM, 26, FALSE) / VLOOKUP("buildings|NOx|Asthma symptoms cough", US_national_yearly!$D:$AM, 10, FALSE), 1)</f>
        <v>4.6402924187138707E-3</v>
      </c>
      <c r="S6" s="7">
        <f>$B6 * IFERROR(VLOOKUP("buildings|NOx|Asthma symptoms cough", US_national_yearly!$D:$AM, 27, FALSE) / VLOOKUP("buildings|NOx|Asthma symptoms cough", US_national_yearly!$D:$AM, 10, FALSE), 1)</f>
        <v>4.6640290726158041E-3</v>
      </c>
      <c r="T6" s="7">
        <f>$B6 * IFERROR(VLOOKUP("buildings|NOx|Asthma symptoms cough", US_national_yearly!$D:$AM, 28, FALSE) / VLOOKUP("buildings|NOx|Asthma symptoms cough", US_national_yearly!$D:$AM, 10, FALSE), 1)</f>
        <v>4.6877657265177375E-3</v>
      </c>
      <c r="U6" s="7">
        <f>$B6 * IFERROR(VLOOKUP("buildings|NOx|Asthma symptoms cough", US_national_yearly!$D:$AM, 29, FALSE) / VLOOKUP("buildings|NOx|Asthma symptoms cough", US_national_yearly!$D:$AM, 10, FALSE), 1)</f>
        <v>4.7115023804196708E-3</v>
      </c>
      <c r="V6" s="7">
        <f>$B6 * IFERROR(VLOOKUP("buildings|NOx|Asthma symptoms cough", US_national_yearly!$D:$AM, 30, FALSE) / VLOOKUP("buildings|NOx|Asthma symptoms cough", US_national_yearly!$D:$AM, 10, FALSE), 1)</f>
        <v>4.7352390343216059E-3</v>
      </c>
      <c r="W6" s="7">
        <f>$B6 * IFERROR(VLOOKUP("buildings|NOx|Asthma symptoms cough", US_national_yearly!$D:$AM, 31, FALSE) / VLOOKUP("buildings|NOx|Asthma symptoms cough", US_national_yearly!$D:$AM, 10, FALSE), 1)</f>
        <v>4.7589756882235393E-3</v>
      </c>
      <c r="X6" s="7">
        <f>$B6 * IFERROR(VLOOKUP("buildings|NOx|Asthma symptoms cough", US_national_yearly!$D:$AM, 32, FALSE) / VLOOKUP("buildings|NOx|Asthma symptoms cough", US_national_yearly!$D:$AM, 10, FALSE), 1)</f>
        <v>4.7810303059252525E-3</v>
      </c>
      <c r="Y6" s="7">
        <f>$B6 * IFERROR(VLOOKUP("buildings|NOx|Asthma symptoms cough", US_national_yearly!$D:$AM, 33, FALSE) / VLOOKUP("buildings|NOx|Asthma symptoms cough", US_national_yearly!$D:$AM, 10, FALSE), 1)</f>
        <v>4.8030849236269666E-3</v>
      </c>
      <c r="Z6" s="7">
        <f>$B6 * IFERROR(VLOOKUP("buildings|NOx|Asthma symptoms cough", US_national_yearly!$D:$AM, 34, FALSE) / VLOOKUP("buildings|NOx|Asthma symptoms cough", US_national_yearly!$D:$AM, 10, FALSE), 1)</f>
        <v>4.8251395413286807E-3</v>
      </c>
      <c r="AA6" s="7">
        <f>$B6 * IFERROR(VLOOKUP("buildings|NOx|Asthma symptoms cough", US_national_yearly!$D:$AM, 35, FALSE) / VLOOKUP("buildings|NOx|Asthma symptoms cough", US_national_yearly!$D:$AM, 10, FALSE), 1)</f>
        <v>4.8471941590303947E-3</v>
      </c>
      <c r="AB6" s="7">
        <f>$B6 * IFERROR(VLOOKUP("buildings|NOx|Asthma symptoms cough", US_national_yearly!$D:$AM, 36, FALSE) / VLOOKUP("buildings|NOx|Asthma symptoms cough", US_national_yearly!$D:$AM, 10, FALSE), 1)</f>
        <v>4.8692487767321088E-3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5.592093138156143E-3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5.6686224557831021E-3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5.7451517734100612E-3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5.8216810910370204E-3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5.8982104086639795E-3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5.9593716733619111E-3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6.0205329380598428E-3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6.0416990451739021E-3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6.0628651522879606E-3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6.0840312594020217E-3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6.1051973665160811E-3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6.1263634736301413E-3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6.1508381038969644E-3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6.1753127341637884E-3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6.1997873644306116E-3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6.2242619946974356E-3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6.2487366249642596E-3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6.2807010109392561E-3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6.3126653969142535E-3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6.34462978288925E-3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6.3765941688642457E-3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6.4085585548392431E-3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6.4382578677761914E-3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6.4679571807131379E-3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6.4976564936500862E-3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6.5273558065870327E-3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6.557055119523981E-3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8.5440592289636151E-3</v>
      </c>
      <c r="C8" s="7">
        <f>$B8 * IFERROR(VLOOKUP("buildings|NOx|Asthma symptoms wheeze", US_national_yearly!$D:$AM, 11, FALSE) / VLOOKUP("buildings|NOx|Asthma symptoms wheeze", US_national_yearly!$D:$AM, 10, FALSE), 1)</f>
        <v>8.6609870068019342E-3</v>
      </c>
      <c r="D8" s="7">
        <f>$B8 * IFERROR(VLOOKUP("buildings|NOx|Asthma symptoms wheeze", US_national_yearly!$D:$AM, 12, FALSE) / VLOOKUP("buildings|NOx|Asthma symptoms wheeze", US_national_yearly!$D:$AM, 10, FALSE), 1)</f>
        <v>8.7779147846402533E-3</v>
      </c>
      <c r="E8" s="7">
        <f>$B8 * IFERROR(VLOOKUP("buildings|NOx|Asthma symptoms wheeze", US_national_yearly!$D:$AM, 13, FALSE) / VLOOKUP("buildings|NOx|Asthma symptoms wheeze", US_national_yearly!$D:$AM, 10, FALSE), 1)</f>
        <v>8.894842562478569E-3</v>
      </c>
      <c r="F8" s="7">
        <f>$B8 * IFERROR(VLOOKUP("buildings|NOx|Asthma symptoms wheeze", US_national_yearly!$D:$AM, 14, FALSE) / VLOOKUP("buildings|NOx|Asthma symptoms wheeze", US_national_yearly!$D:$AM, 10, FALSE), 1)</f>
        <v>9.0117703403168898E-3</v>
      </c>
      <c r="G8" s="7">
        <f>$B8 * IFERROR(VLOOKUP("buildings|NOx|Asthma symptoms wheeze", US_national_yearly!$D:$AM, 15, FALSE) / VLOOKUP("buildings|NOx|Asthma symptoms wheeze", US_national_yearly!$D:$AM, 10, FALSE), 1)</f>
        <v>9.1052175446935078E-3</v>
      </c>
      <c r="H8" s="7">
        <f>$B8 * IFERROR(VLOOKUP("buildings|NOx|Asthma symptoms wheeze", US_national_yearly!$D:$AM, 16, FALSE) / VLOOKUP("buildings|NOx|Asthma symptoms wheeze", US_national_yearly!$D:$AM, 10, FALSE), 1)</f>
        <v>9.1986647490701224E-3</v>
      </c>
      <c r="I8" s="7">
        <f>$B8 * IFERROR(VLOOKUP("buildings|NOx|Asthma symptoms wheeze", US_national_yearly!$D:$AM, 17, FALSE) / VLOOKUP("buildings|NOx|Asthma symptoms wheeze", US_national_yearly!$D:$AM, 10, FALSE), 1)</f>
        <v>9.23100406656009E-3</v>
      </c>
      <c r="J8" s="7">
        <f>$B8 * IFERROR(VLOOKUP("buildings|NOx|Asthma symptoms wheeze", US_national_yearly!$D:$AM, 18, FALSE) / VLOOKUP("buildings|NOx|Asthma symptoms wheeze", US_national_yearly!$D:$AM, 10, FALSE), 1)</f>
        <v>9.2633433840500559E-3</v>
      </c>
      <c r="K8" s="7">
        <f>$B8 * IFERROR(VLOOKUP("buildings|NOx|Asthma symptoms wheeze", US_national_yearly!$D:$AM, 19, FALSE) / VLOOKUP("buildings|NOx|Asthma symptoms wheeze", US_national_yearly!$D:$AM, 10, FALSE), 1)</f>
        <v>9.2956827015400218E-3</v>
      </c>
      <c r="L8" s="7">
        <f>$B8 * IFERROR(VLOOKUP("buildings|NOx|Asthma symptoms wheeze", US_national_yearly!$D:$AM, 20, FALSE) / VLOOKUP("buildings|NOx|Asthma symptoms wheeze", US_national_yearly!$D:$AM, 10, FALSE), 1)</f>
        <v>9.3280220190299877E-3</v>
      </c>
      <c r="M8" s="7">
        <f>$B8 * IFERROR(VLOOKUP("buildings|NOx|Asthma symptoms wheeze", US_national_yearly!$D:$AM, 21, FALSE) / VLOOKUP("buildings|NOx|Asthma symptoms wheeze", US_national_yearly!$D:$AM, 10, FALSE), 1)</f>
        <v>9.3603613365199571E-3</v>
      </c>
      <c r="N8" s="7">
        <f>$B8 * IFERROR(VLOOKUP("buildings|NOx|Asthma symptoms wheeze", US_national_yearly!$D:$AM, 22, FALSE) / VLOOKUP("buildings|NOx|Asthma symptoms wheeze", US_national_yearly!$D:$AM, 10, FALSE), 1)</f>
        <v>9.3977556873859787E-3</v>
      </c>
      <c r="O8" s="7">
        <f>$B8 * IFERROR(VLOOKUP("buildings|NOx|Asthma symptoms wheeze", US_national_yearly!$D:$AM, 23, FALSE) / VLOOKUP("buildings|NOx|Asthma symptoms wheeze", US_national_yearly!$D:$AM, 10, FALSE), 1)</f>
        <v>9.435150038252002E-3</v>
      </c>
      <c r="P8" s="7">
        <f>$B8 * IFERROR(VLOOKUP("buildings|NOx|Asthma symptoms wheeze", US_national_yearly!$D:$AM, 24, FALSE) / VLOOKUP("buildings|NOx|Asthma symptoms wheeze", US_national_yearly!$D:$AM, 10, FALSE), 1)</f>
        <v>9.4725443891180254E-3</v>
      </c>
      <c r="Q8" s="7">
        <f>$B8 * IFERROR(VLOOKUP("buildings|NOx|Asthma symptoms wheeze", US_national_yearly!$D:$AM, 25, FALSE) / VLOOKUP("buildings|NOx|Asthma symptoms wheeze", US_national_yearly!$D:$AM, 10, FALSE), 1)</f>
        <v>9.5099387399840488E-3</v>
      </c>
      <c r="R8" s="7">
        <f>$B8 * IFERROR(VLOOKUP("buildings|NOx|Asthma symptoms wheeze", US_national_yearly!$D:$AM, 26, FALSE) / VLOOKUP("buildings|NOx|Asthma symptoms wheeze", US_national_yearly!$D:$AM, 10, FALSE), 1)</f>
        <v>9.5473330908500704E-3</v>
      </c>
      <c r="S8" s="7">
        <f>$B8 * IFERROR(VLOOKUP("buildings|NOx|Asthma symptoms wheeze", US_national_yearly!$D:$AM, 27, FALSE) / VLOOKUP("buildings|NOx|Asthma symptoms wheeze", US_national_yearly!$D:$AM, 10, FALSE), 1)</f>
        <v>9.5961709055812656E-3</v>
      </c>
      <c r="T8" s="7">
        <f>$B8 * IFERROR(VLOOKUP("buildings|NOx|Asthma symptoms wheeze", US_national_yearly!$D:$AM, 28, FALSE) / VLOOKUP("buildings|NOx|Asthma symptoms wheeze", US_national_yearly!$D:$AM, 10, FALSE), 1)</f>
        <v>9.6450087203124608E-3</v>
      </c>
      <c r="U8" s="7">
        <f>$B8 * IFERROR(VLOOKUP("buildings|NOx|Asthma symptoms wheeze", US_national_yearly!$D:$AM, 29, FALSE) / VLOOKUP("buildings|NOx|Asthma symptoms wheeze", US_national_yearly!$D:$AM, 10, FALSE), 1)</f>
        <v>9.6938465350436542E-3</v>
      </c>
      <c r="V8" s="7">
        <f>$B8 * IFERROR(VLOOKUP("buildings|NOx|Asthma symptoms wheeze", US_national_yearly!$D:$AM, 30, FALSE) / VLOOKUP("buildings|NOx|Asthma symptoms wheeze", US_national_yearly!$D:$AM, 10, FALSE), 1)</f>
        <v>9.7426843497748494E-3</v>
      </c>
      <c r="W8" s="7">
        <f>$B8 * IFERROR(VLOOKUP("buildings|NOx|Asthma symptoms wheeze", US_national_yearly!$D:$AM, 31, FALSE) / VLOOKUP("buildings|NOx|Asthma symptoms wheeze", US_national_yearly!$D:$AM, 10, FALSE), 1)</f>
        <v>9.7915221645060429E-3</v>
      </c>
      <c r="X8" s="7">
        <f>$B8 * IFERROR(VLOOKUP("buildings|NOx|Asthma symptoms wheeze", US_national_yearly!$D:$AM, 32, FALSE) / VLOOKUP("buildings|NOx|Asthma symptoms wheeze", US_national_yearly!$D:$AM, 10, FALSE), 1)</f>
        <v>9.83689921460708E-3</v>
      </c>
      <c r="Y8" s="7">
        <f>$B8 * IFERROR(VLOOKUP("buildings|NOx|Asthma symptoms wheeze", US_national_yearly!$D:$AM, 33, FALSE) / VLOOKUP("buildings|NOx|Asthma symptoms wheeze", US_national_yearly!$D:$AM, 10, FALSE), 1)</f>
        <v>9.8822762647081171E-3</v>
      </c>
      <c r="Z8" s="7">
        <f>$B8 * IFERROR(VLOOKUP("buildings|NOx|Asthma symptoms wheeze", US_national_yearly!$D:$AM, 34, FALSE) / VLOOKUP("buildings|NOx|Asthma symptoms wheeze", US_national_yearly!$D:$AM, 10, FALSE), 1)</f>
        <v>9.927653314809156E-3</v>
      </c>
      <c r="AA8" s="7">
        <f>$B8 * IFERROR(VLOOKUP("buildings|NOx|Asthma symptoms wheeze", US_national_yearly!$D:$AM, 35, FALSE) / VLOOKUP("buildings|NOx|Asthma symptoms wheeze", US_national_yearly!$D:$AM, 10, FALSE), 1)</f>
        <v>9.9730303649101931E-3</v>
      </c>
      <c r="AB8" s="7">
        <f>$B8 * IFERROR(VLOOKUP("buildings|NOx|Asthma symptoms wheeze", US_national_yearly!$D:$AM, 36, FALSE) / VLOOKUP("buildings|NOx|Asthma symptoms wheeze", US_national_yearly!$D:$AM, 10, FALSE), 1)</f>
        <v>1.0018407415011232E-2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8.3013279544373055E-5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8.5087312415798656E-5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8.7161345287224242E-5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8.9235378158649843E-5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9.130941103007543E-5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9.3292249567528373E-5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9.5275088104981276E-5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9.6959462726345269E-5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9.8643837347709261E-5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1.0032821196907325E-4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1.0201258659043725E-4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1.0369696121180125E-4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1.0482295637840489E-4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1.0594895154500853E-4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1.0707494671161218E-4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1.0820094187821583E-4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1.0932693704481945E-4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1.0993066155389469E-4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1.105343860629699E-4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1.1113811057204514E-4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1.1174183508112036E-4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1.1234555959019557E-4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1.1275883750314432E-4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1.1317211541609304E-4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1.1358539332904181E-4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1.1399867124199054E-4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1.144119491549393E-4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5.7726846081514128E-4</v>
      </c>
      <c r="C13" s="7">
        <f>$B13 * IFERROR(VLOOKUP("buildings|NOx|Non-fatal heart attacks", US_national_yearly!$D:$AM, 11, FALSE) / VLOOKUP("buildings|NOx|Non-fatal heart attacks", US_national_yearly!$D:$AM, 10, FALSE), 1)</f>
        <v>5.9378293450773655E-4</v>
      </c>
      <c r="D13" s="7">
        <f>$B13 * IFERROR(VLOOKUP("buildings|NOx|Non-fatal heart attacks", US_national_yearly!$D:$AM, 12, FALSE) / VLOOKUP("buildings|NOx|Non-fatal heart attacks", US_national_yearly!$D:$AM, 10, FALSE), 1)</f>
        <v>6.1029740820033203E-4</v>
      </c>
      <c r="E13" s="7">
        <f>$B13 * IFERROR(VLOOKUP("buildings|NOx|Non-fatal heart attacks", US_national_yearly!$D:$AM, 13, FALSE) / VLOOKUP("buildings|NOx|Non-fatal heart attacks", US_national_yearly!$D:$AM, 10, FALSE), 1)</f>
        <v>6.268118818929273E-4</v>
      </c>
      <c r="F13" s="7">
        <f>$B13 * IFERROR(VLOOKUP("buildings|NOx|Non-fatal heart attacks", US_national_yearly!$D:$AM, 14, FALSE) / VLOOKUP("buildings|NOx|Non-fatal heart attacks", US_national_yearly!$D:$AM, 10, FALSE), 1)</f>
        <v>6.4332635558552256E-4</v>
      </c>
      <c r="G13" s="7">
        <f>$B13 * IFERROR(VLOOKUP("buildings|NOx|Non-fatal heart attacks", US_national_yearly!$D:$AM, 15, FALSE) / VLOOKUP("buildings|NOx|Non-fatal heart attacks", US_national_yearly!$D:$AM, 10, FALSE), 1)</f>
        <v>6.5876237860055837E-4</v>
      </c>
      <c r="H13" s="7">
        <f>$B13 * IFERROR(VLOOKUP("buildings|NOx|Non-fatal heart attacks", US_national_yearly!$D:$AM, 16, FALSE) / VLOOKUP("buildings|NOx|Non-fatal heart attacks", US_national_yearly!$D:$AM, 10, FALSE), 1)</f>
        <v>6.7419840161559428E-4</v>
      </c>
      <c r="I13" s="7">
        <f>$B13 * IFERROR(VLOOKUP("buildings|NOx|Non-fatal heart attacks", US_national_yearly!$D:$AM, 17, FALSE) / VLOOKUP("buildings|NOx|Non-fatal heart attacks", US_national_yearly!$D:$AM, 10, FALSE), 1)</f>
        <v>6.86376314162898E-4</v>
      </c>
      <c r="J13" s="7">
        <f>$B13 * IFERROR(VLOOKUP("buildings|NOx|Non-fatal heart attacks", US_national_yearly!$D:$AM, 18, FALSE) / VLOOKUP("buildings|NOx|Non-fatal heart attacks", US_national_yearly!$D:$AM, 10, FALSE), 1)</f>
        <v>6.9855422671020182E-4</v>
      </c>
      <c r="K13" s="7">
        <f>$B13 * IFERROR(VLOOKUP("buildings|NOx|Non-fatal heart attacks", US_national_yearly!$D:$AM, 19, FALSE) / VLOOKUP("buildings|NOx|Non-fatal heart attacks", US_national_yearly!$D:$AM, 10, FALSE), 1)</f>
        <v>7.1073213925750597E-4</v>
      </c>
      <c r="L13" s="7">
        <f>$B13 * IFERROR(VLOOKUP("buildings|NOx|Non-fatal heart attacks", US_national_yearly!$D:$AM, 20, FALSE) / VLOOKUP("buildings|NOx|Non-fatal heart attacks", US_national_yearly!$D:$AM, 10, FALSE), 1)</f>
        <v>7.2291005180480936E-4</v>
      </c>
      <c r="M13" s="7">
        <f>$B13 * IFERROR(VLOOKUP("buildings|NOx|Non-fatal heart attacks", US_national_yearly!$D:$AM, 21, FALSE) / VLOOKUP("buildings|NOx|Non-fatal heart attacks", US_national_yearly!$D:$AM, 10, FALSE), 1)</f>
        <v>7.3508796435211351E-4</v>
      </c>
      <c r="N13" s="7">
        <f>$B13 * IFERROR(VLOOKUP("buildings|NOx|Non-fatal heart attacks", US_national_yearly!$D:$AM, 22, FALSE) / VLOOKUP("buildings|NOx|Non-fatal heart attacks", US_national_yearly!$D:$AM, 10, FALSE), 1)</f>
        <v>7.4241700128467711E-4</v>
      </c>
      <c r="O13" s="7">
        <f>$B13 * IFERROR(VLOOKUP("buildings|NOx|Non-fatal heart attacks", US_national_yearly!$D:$AM, 23, FALSE) / VLOOKUP("buildings|NOx|Non-fatal heart attacks", US_national_yearly!$D:$AM, 10, FALSE), 1)</f>
        <v>7.4974603821724071E-4</v>
      </c>
      <c r="P13" s="7">
        <f>$B13 * IFERROR(VLOOKUP("buildings|NOx|Non-fatal heart attacks", US_national_yearly!$D:$AM, 24, FALSE) / VLOOKUP("buildings|NOx|Non-fatal heart attacks", US_national_yearly!$D:$AM, 10, FALSE), 1)</f>
        <v>7.5707507514980441E-4</v>
      </c>
      <c r="Q13" s="7">
        <f>$B13 * IFERROR(VLOOKUP("buildings|NOx|Non-fatal heart attacks", US_national_yearly!$D:$AM, 25, FALSE) / VLOOKUP("buildings|NOx|Non-fatal heart attacks", US_national_yearly!$D:$AM, 10, FALSE), 1)</f>
        <v>7.6440411208236812E-4</v>
      </c>
      <c r="R13" s="7">
        <f>$B13 * IFERROR(VLOOKUP("buildings|NOx|Non-fatal heart attacks", US_national_yearly!$D:$AM, 26, FALSE) / VLOOKUP("buildings|NOx|Non-fatal heart attacks", US_national_yearly!$D:$AM, 10, FALSE), 1)</f>
        <v>7.7173314901493161E-4</v>
      </c>
      <c r="S13" s="7">
        <f>$B13 * IFERROR(VLOOKUP("buildings|NOx|Non-fatal heart attacks", US_national_yearly!$D:$AM, 27, FALSE) / VLOOKUP("buildings|NOx|Non-fatal heart attacks", US_national_yearly!$D:$AM, 10, FALSE), 1)</f>
        <v>7.7506375091633854E-4</v>
      </c>
      <c r="T13" s="7">
        <f>$B13 * IFERROR(VLOOKUP("buildings|NOx|Non-fatal heart attacks", US_national_yearly!$D:$AM, 28, FALSE) / VLOOKUP("buildings|NOx|Non-fatal heart attacks", US_national_yearly!$D:$AM, 10, FALSE), 1)</f>
        <v>7.7839435281774579E-4</v>
      </c>
      <c r="U13" s="7">
        <f>$B13 * IFERROR(VLOOKUP("buildings|NOx|Non-fatal heart attacks", US_national_yearly!$D:$AM, 29, FALSE) / VLOOKUP("buildings|NOx|Non-fatal heart attacks", US_national_yearly!$D:$AM, 10, FALSE), 1)</f>
        <v>7.8172495471915272E-4</v>
      </c>
      <c r="V13" s="7">
        <f>$B13 * IFERROR(VLOOKUP("buildings|NOx|Non-fatal heart attacks", US_national_yearly!$D:$AM, 30, FALSE) / VLOOKUP("buildings|NOx|Non-fatal heart attacks", US_national_yearly!$D:$AM, 10, FALSE), 1)</f>
        <v>7.8505555662055975E-4</v>
      </c>
      <c r="W13" s="7">
        <f>$B13 * IFERROR(VLOOKUP("buildings|NOx|Non-fatal heart attacks", US_national_yearly!$D:$AM, 31, FALSE) / VLOOKUP("buildings|NOx|Non-fatal heart attacks", US_national_yearly!$D:$AM, 10, FALSE), 1)</f>
        <v>7.8838615852196679E-4</v>
      </c>
      <c r="X13" s="7">
        <f>$B13 * IFERROR(VLOOKUP("buildings|NOx|Non-fatal heart attacks", US_national_yearly!$D:$AM, 32, FALSE) / VLOOKUP("buildings|NOx|Non-fatal heart attacks", US_national_yearly!$D:$AM, 10, FALSE), 1)</f>
        <v>7.9061405997810368E-4</v>
      </c>
      <c r="Y13" s="7">
        <f>$B13 * IFERROR(VLOOKUP("buildings|NOx|Non-fatal heart attacks", US_national_yearly!$D:$AM, 33, FALSE) / VLOOKUP("buildings|NOx|Non-fatal heart attacks", US_national_yearly!$D:$AM, 10, FALSE), 1)</f>
        <v>7.9284196143424046E-4</v>
      </c>
      <c r="Z13" s="7">
        <f>$B13 * IFERROR(VLOOKUP("buildings|NOx|Non-fatal heart attacks", US_national_yearly!$D:$AM, 34, FALSE) / VLOOKUP("buildings|NOx|Non-fatal heart attacks", US_national_yearly!$D:$AM, 10, FALSE), 1)</f>
        <v>7.9506986289037745E-4</v>
      </c>
      <c r="AA13" s="7">
        <f>$B13 * IFERROR(VLOOKUP("buildings|NOx|Non-fatal heart attacks", US_national_yearly!$D:$AM, 35, FALSE) / VLOOKUP("buildings|NOx|Non-fatal heart attacks", US_national_yearly!$D:$AM, 10, FALSE), 1)</f>
        <v>7.9729776434651423E-4</v>
      </c>
      <c r="AB13" s="7">
        <f>$B13 * IFERROR(VLOOKUP("buildings|NOx|Non-fatal heart attacks", US_national_yearly!$D:$AM, 36, FALSE) / VLOOKUP("buildings|NOx|Non-fatal heart attacks", US_national_yearly!$D:$AM, 10, FALSE), 1)</f>
        <v>7.9952566580265112E-4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0.51819802494243317</v>
      </c>
      <c r="C14" s="7">
        <f>$B14 * IFERROR(VLOOKUP("buildings|NOx|Minor restricted activity days", US_national_yearly!$D:$AM, 11, FALSE) / VLOOKUP("buildings|NOx|Minor restricted activity days", US_national_yearly!$D:$AM, 10, FALSE), 1)</f>
        <v>0.51900214572698589</v>
      </c>
      <c r="D14" s="7">
        <f>$B14 * IFERROR(VLOOKUP("buildings|NOx|Minor restricted activity days", US_national_yearly!$D:$AM, 12, FALSE) / VLOOKUP("buildings|NOx|Minor restricted activity days", US_national_yearly!$D:$AM, 10, FALSE), 1)</f>
        <v>0.51980626651153861</v>
      </c>
      <c r="E14" s="7">
        <f>$B14 * IFERROR(VLOOKUP("buildings|NOx|Minor restricted activity days", US_national_yearly!$D:$AM, 13, FALSE) / VLOOKUP("buildings|NOx|Minor restricted activity days", US_national_yearly!$D:$AM, 10, FALSE), 1)</f>
        <v>0.52061038729609144</v>
      </c>
      <c r="F14" s="7">
        <f>$B14 * IFERROR(VLOOKUP("buildings|NOx|Minor restricted activity days", US_national_yearly!$D:$AM, 14, FALSE) / VLOOKUP("buildings|NOx|Minor restricted activity days", US_national_yearly!$D:$AM, 10, FALSE), 1)</f>
        <v>0.52141450808064416</v>
      </c>
      <c r="G14" s="7">
        <f>$B14 * IFERROR(VLOOKUP("buildings|NOx|Minor restricted activity days", US_national_yearly!$D:$AM, 15, FALSE) / VLOOKUP("buildings|NOx|Minor restricted activity days", US_national_yearly!$D:$AM, 10, FALSE), 1)</f>
        <v>0.52285911246549821</v>
      </c>
      <c r="H14" s="7">
        <f>$B14 * IFERROR(VLOOKUP("buildings|NOx|Minor restricted activity days", US_national_yearly!$D:$AM, 16, FALSE) / VLOOKUP("buildings|NOx|Minor restricted activity days", US_national_yearly!$D:$AM, 10, FALSE), 1)</f>
        <v>0.52430371685035226</v>
      </c>
      <c r="I14" s="7">
        <f>$B14 * IFERROR(VLOOKUP("buildings|NOx|Minor restricted activity days", US_national_yearly!$D:$AM, 17, FALSE) / VLOOKUP("buildings|NOx|Minor restricted activity days", US_national_yearly!$D:$AM, 10, FALSE), 1)</f>
        <v>0.52712028325310611</v>
      </c>
      <c r="J14" s="7">
        <f>$B14 * IFERROR(VLOOKUP("buildings|NOx|Minor restricted activity days", US_national_yearly!$D:$AM, 18, FALSE) / VLOOKUP("buildings|NOx|Minor restricted activity days", US_national_yearly!$D:$AM, 10, FALSE), 1)</f>
        <v>0.52993684965586008</v>
      </c>
      <c r="K14" s="7">
        <f>$B14 * IFERROR(VLOOKUP("buildings|NOx|Minor restricted activity days", US_national_yearly!$D:$AM, 19, FALSE) / VLOOKUP("buildings|NOx|Minor restricted activity days", US_national_yearly!$D:$AM, 10, FALSE), 1)</f>
        <v>0.53275341605861393</v>
      </c>
      <c r="L14" s="7">
        <f>$B14 * IFERROR(VLOOKUP("buildings|NOx|Minor restricted activity days", US_national_yearly!$D:$AM, 20, FALSE) / VLOOKUP("buildings|NOx|Minor restricted activity days", US_national_yearly!$D:$AM, 10, FALSE), 1)</f>
        <v>0.53556998246136789</v>
      </c>
      <c r="M14" s="7">
        <f>$B14 * IFERROR(VLOOKUP("buildings|NOx|Minor restricted activity days", US_national_yearly!$D:$AM, 21, FALSE) / VLOOKUP("buildings|NOx|Minor restricted activity days", US_national_yearly!$D:$AM, 10, FALSE), 1)</f>
        <v>0.53838654886412174</v>
      </c>
      <c r="N14" s="7">
        <f>$B14 * IFERROR(VLOOKUP("buildings|NOx|Minor restricted activity days", US_national_yearly!$D:$AM, 22, FALSE) / VLOOKUP("buildings|NOx|Minor restricted activity days", US_national_yearly!$D:$AM, 10, FALSE), 1)</f>
        <v>0.54241595209530646</v>
      </c>
      <c r="O14" s="7">
        <f>$B14 * IFERROR(VLOOKUP("buildings|NOx|Minor restricted activity days", US_national_yearly!$D:$AM, 23, FALSE) / VLOOKUP("buildings|NOx|Minor restricted activity days", US_national_yearly!$D:$AM, 10, FALSE), 1)</f>
        <v>0.54644535532649108</v>
      </c>
      <c r="P14" s="7">
        <f>$B14 * IFERROR(VLOOKUP("buildings|NOx|Minor restricted activity days", US_national_yearly!$D:$AM, 24, FALSE) / VLOOKUP("buildings|NOx|Minor restricted activity days", US_national_yearly!$D:$AM, 10, FALSE), 1)</f>
        <v>0.5504747585576758</v>
      </c>
      <c r="Q14" s="7">
        <f>$B14 * IFERROR(VLOOKUP("buildings|NOx|Minor restricted activity days", US_national_yearly!$D:$AM, 25, FALSE) / VLOOKUP("buildings|NOx|Minor restricted activity days", US_national_yearly!$D:$AM, 10, FALSE), 1)</f>
        <v>0.55450416178886031</v>
      </c>
      <c r="R14" s="7">
        <f>$B14 * IFERROR(VLOOKUP("buildings|NOx|Minor restricted activity days", US_national_yearly!$D:$AM, 26, FALSE) / VLOOKUP("buildings|NOx|Minor restricted activity days", US_national_yearly!$D:$AM, 10, FALSE), 1)</f>
        <v>0.55853356502004492</v>
      </c>
      <c r="S14" s="7">
        <f>$B14 * IFERROR(VLOOKUP("buildings|NOx|Minor restricted activity days", US_national_yearly!$D:$AM, 27, FALSE) / VLOOKUP("buildings|NOx|Minor restricted activity days", US_national_yearly!$D:$AM, 10, FALSE), 1)</f>
        <v>0.56256180829544289</v>
      </c>
      <c r="T14" s="7">
        <f>$B14 * IFERROR(VLOOKUP("buildings|NOx|Minor restricted activity days", US_national_yearly!$D:$AM, 28, FALSE) / VLOOKUP("buildings|NOx|Minor restricted activity days", US_national_yearly!$D:$AM, 10, FALSE), 1)</f>
        <v>0.56659005157084097</v>
      </c>
      <c r="U14" s="7">
        <f>$B14 * IFERROR(VLOOKUP("buildings|NOx|Minor restricted activity days", US_national_yearly!$D:$AM, 29, FALSE) / VLOOKUP("buildings|NOx|Minor restricted activity days", US_national_yearly!$D:$AM, 10, FALSE), 1)</f>
        <v>0.57061829484623905</v>
      </c>
      <c r="V14" s="7">
        <f>$B14 * IFERROR(VLOOKUP("buildings|NOx|Minor restricted activity days", US_national_yearly!$D:$AM, 30, FALSE) / VLOOKUP("buildings|NOx|Minor restricted activity days", US_national_yearly!$D:$AM, 10, FALSE), 1)</f>
        <v>0.57464653812163713</v>
      </c>
      <c r="W14" s="7">
        <f>$B14 * IFERROR(VLOOKUP("buildings|NOx|Minor restricted activity days", US_national_yearly!$D:$AM, 31, FALSE) / VLOOKUP("buildings|NOx|Minor restricted activity days", US_national_yearly!$D:$AM, 10, FALSE), 1)</f>
        <v>0.5786747813970351</v>
      </c>
      <c r="X14" s="7">
        <f>$B14 * IFERROR(VLOOKUP("buildings|NOx|Minor restricted activity days", US_national_yearly!$D:$AM, 32, FALSE) / VLOOKUP("buildings|NOx|Minor restricted activity days", US_national_yearly!$D:$AM, 10, FALSE), 1)</f>
        <v>0.58208163220272235</v>
      </c>
      <c r="Y14" s="7">
        <f>$B14 * IFERROR(VLOOKUP("buildings|NOx|Minor restricted activity days", US_national_yearly!$D:$AM, 33, FALSE) / VLOOKUP("buildings|NOx|Minor restricted activity days", US_national_yearly!$D:$AM, 10, FALSE), 1)</f>
        <v>0.58548848300840961</v>
      </c>
      <c r="Z14" s="7">
        <f>$B14 * IFERROR(VLOOKUP("buildings|NOx|Minor restricted activity days", US_national_yearly!$D:$AM, 34, FALSE) / VLOOKUP("buildings|NOx|Minor restricted activity days", US_national_yearly!$D:$AM, 10, FALSE), 1)</f>
        <v>0.58889533381409664</v>
      </c>
      <c r="AA14" s="7">
        <f>$B14 * IFERROR(VLOOKUP("buildings|NOx|Minor restricted activity days", US_national_yearly!$D:$AM, 35, FALSE) / VLOOKUP("buildings|NOx|Minor restricted activity days", US_national_yearly!$D:$AM, 10, FALSE), 1)</f>
        <v>0.59230218461978401</v>
      </c>
      <c r="AB14" s="7">
        <f>$B14 * IFERROR(VLOOKUP("buildings|NOx|Minor restricted activity days", US_national_yearly!$D:$AM, 36, FALSE) / VLOOKUP("buildings|NOx|Minor restricted activity days", US_national_yearly!$D:$AM, 10, FALSE), 1)</f>
        <v>0.59570903542547116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8.8265748606973296E-2</v>
      </c>
      <c r="C15" s="7">
        <f>$B15 * IFERROR(VLOOKUP("buildings|NOx|Work loss days", US_national_yearly!$D:$AM, 11, FALSE) / VLOOKUP("buildings|NOx|Work loss days", US_national_yearly!$D:$AM, 10, FALSE), 1)</f>
        <v>8.8463617030348898E-2</v>
      </c>
      <c r="D15" s="7">
        <f>$B15 * IFERROR(VLOOKUP("buildings|NOx|Work loss days", US_national_yearly!$D:$AM, 12, FALSE) / VLOOKUP("buildings|NOx|Work loss days", US_national_yearly!$D:$AM, 10, FALSE), 1)</f>
        <v>8.8661485453724487E-2</v>
      </c>
      <c r="E15" s="7">
        <f>$B15 * IFERROR(VLOOKUP("buildings|NOx|Work loss days", US_national_yearly!$D:$AM, 13, FALSE) / VLOOKUP("buildings|NOx|Work loss days", US_national_yearly!$D:$AM, 10, FALSE), 1)</f>
        <v>8.8859353877100075E-2</v>
      </c>
      <c r="F15" s="7">
        <f>$B15 * IFERROR(VLOOKUP("buildings|NOx|Work loss days", US_national_yearly!$D:$AM, 14, FALSE) / VLOOKUP("buildings|NOx|Work loss days", US_national_yearly!$D:$AM, 10, FALSE), 1)</f>
        <v>8.9057222300475691E-2</v>
      </c>
      <c r="G15" s="7">
        <f>$B15 * IFERROR(VLOOKUP("buildings|NOx|Work loss days", US_national_yearly!$D:$AM, 15, FALSE) / VLOOKUP("buildings|NOx|Work loss days", US_national_yearly!$D:$AM, 10, FALSE), 1)</f>
        <v>8.9345439843157931E-2</v>
      </c>
      <c r="H15" s="7">
        <f>$B15 * IFERROR(VLOOKUP("buildings|NOx|Work loss days", US_national_yearly!$D:$AM, 16, FALSE) / VLOOKUP("buildings|NOx|Work loss days", US_national_yearly!$D:$AM, 10, FALSE), 1)</f>
        <v>8.9633657385840171E-2</v>
      </c>
      <c r="I15" s="7">
        <f>$B15 * IFERROR(VLOOKUP("buildings|NOx|Work loss days", US_national_yearly!$D:$AM, 17, FALSE) / VLOOKUP("buildings|NOx|Work loss days", US_national_yearly!$D:$AM, 10, FALSE), 1)</f>
        <v>9.0099792026310549E-2</v>
      </c>
      <c r="J15" s="7">
        <f>$B15 * IFERROR(VLOOKUP("buildings|NOx|Work loss days", US_national_yearly!$D:$AM, 18, FALSE) / VLOOKUP("buildings|NOx|Work loss days", US_national_yearly!$D:$AM, 10, FALSE), 1)</f>
        <v>9.0565926666780899E-2</v>
      </c>
      <c r="K15" s="7">
        <f>$B15 * IFERROR(VLOOKUP("buildings|NOx|Work loss days", US_national_yearly!$D:$AM, 19, FALSE) / VLOOKUP("buildings|NOx|Work loss days", US_national_yearly!$D:$AM, 10, FALSE), 1)</f>
        <v>9.1032061307251277E-2</v>
      </c>
      <c r="L15" s="7">
        <f>$B15 * IFERROR(VLOOKUP("buildings|NOx|Work loss days", US_national_yearly!$D:$AM, 20, FALSE) / VLOOKUP("buildings|NOx|Work loss days", US_national_yearly!$D:$AM, 10, FALSE), 1)</f>
        <v>9.1498195947721656E-2</v>
      </c>
      <c r="M15" s="7">
        <f>$B15 * IFERROR(VLOOKUP("buildings|NOx|Work loss days", US_national_yearly!$D:$AM, 21, FALSE) / VLOOKUP("buildings|NOx|Work loss days", US_national_yearly!$D:$AM, 10, FALSE), 1)</f>
        <v>9.1964330588192006E-2</v>
      </c>
      <c r="N15" s="7">
        <f>$B15 * IFERROR(VLOOKUP("buildings|NOx|Work loss days", US_national_yearly!$D:$AM, 22, FALSE) / VLOOKUP("buildings|NOx|Work loss days", US_national_yearly!$D:$AM, 10, FALSE), 1)</f>
        <v>9.2570772524325509E-2</v>
      </c>
      <c r="O15" s="7">
        <f>$B15 * IFERROR(VLOOKUP("buildings|NOx|Work loss days", US_national_yearly!$D:$AM, 23, FALSE) / VLOOKUP("buildings|NOx|Work loss days", US_national_yearly!$D:$AM, 10, FALSE), 1)</f>
        <v>9.3177214460459012E-2</v>
      </c>
      <c r="P15" s="7">
        <f>$B15 * IFERROR(VLOOKUP("buildings|NOx|Work loss days", US_national_yearly!$D:$AM, 24, FALSE) / VLOOKUP("buildings|NOx|Work loss days", US_national_yearly!$D:$AM, 10, FALSE), 1)</f>
        <v>9.3783656396592516E-2</v>
      </c>
      <c r="Q15" s="7">
        <f>$B15 * IFERROR(VLOOKUP("buildings|NOx|Work loss days", US_national_yearly!$D:$AM, 25, FALSE) / VLOOKUP("buildings|NOx|Work loss days", US_national_yearly!$D:$AM, 10, FALSE), 1)</f>
        <v>9.4390098332726047E-2</v>
      </c>
      <c r="R15" s="7">
        <f>$B15 * IFERROR(VLOOKUP("buildings|NOx|Work loss days", US_national_yearly!$D:$AM, 26, FALSE) / VLOOKUP("buildings|NOx|Work loss days", US_national_yearly!$D:$AM, 10, FALSE), 1)</f>
        <v>9.499654026885955E-2</v>
      </c>
      <c r="S15" s="7">
        <f>$B15 * IFERROR(VLOOKUP("buildings|NOx|Work loss days", US_national_yearly!$D:$AM, 27, FALSE) / VLOOKUP("buildings|NOx|Work loss days", US_national_yearly!$D:$AM, 10, FALSE), 1)</f>
        <v>9.567231352853478E-2</v>
      </c>
      <c r="T15" s="7">
        <f>$B15 * IFERROR(VLOOKUP("buildings|NOx|Work loss days", US_national_yearly!$D:$AM, 28, FALSE) / VLOOKUP("buildings|NOx|Work loss days", US_national_yearly!$D:$AM, 10, FALSE), 1)</f>
        <v>9.6348086788210038E-2</v>
      </c>
      <c r="U15" s="7">
        <f>$B15 * IFERROR(VLOOKUP("buildings|NOx|Work loss days", US_national_yearly!$D:$AM, 29, FALSE) / VLOOKUP("buildings|NOx|Work loss days", US_national_yearly!$D:$AM, 10, FALSE), 1)</f>
        <v>9.7023860047885269E-2</v>
      </c>
      <c r="V15" s="7">
        <f>$B15 * IFERROR(VLOOKUP("buildings|NOx|Work loss days", US_national_yearly!$D:$AM, 30, FALSE) / VLOOKUP("buildings|NOx|Work loss days", US_national_yearly!$D:$AM, 10, FALSE), 1)</f>
        <v>9.7699633307560499E-2</v>
      </c>
      <c r="W15" s="7">
        <f>$B15 * IFERROR(VLOOKUP("buildings|NOx|Work loss days", US_national_yearly!$D:$AM, 31, FALSE) / VLOOKUP("buildings|NOx|Work loss days", US_national_yearly!$D:$AM, 10, FALSE), 1)</f>
        <v>9.8375406567235729E-2</v>
      </c>
      <c r="X15" s="7">
        <f>$B15 * IFERROR(VLOOKUP("buildings|NOx|Work loss days", US_national_yearly!$D:$AM, 32, FALSE) / VLOOKUP("buildings|NOx|Work loss days", US_national_yearly!$D:$AM, 10, FALSE), 1)</f>
        <v>9.8962118950825365E-2</v>
      </c>
      <c r="Y15" s="7">
        <f>$B15 * IFERROR(VLOOKUP("buildings|NOx|Work loss days", US_national_yearly!$D:$AM, 33, FALSE) / VLOOKUP("buildings|NOx|Work loss days", US_national_yearly!$D:$AM, 10, FALSE), 1)</f>
        <v>9.9548831334415014E-2</v>
      </c>
      <c r="Z15" s="7">
        <f>$B15 * IFERROR(VLOOKUP("buildings|NOx|Work loss days", US_national_yearly!$D:$AM, 34, FALSE) / VLOOKUP("buildings|NOx|Work loss days", US_national_yearly!$D:$AM, 10, FALSE), 1)</f>
        <v>0.10013554371800465</v>
      </c>
      <c r="AA15" s="7">
        <f>$B15 * IFERROR(VLOOKUP("buildings|NOx|Work loss days", US_national_yearly!$D:$AM, 35, FALSE) / VLOOKUP("buildings|NOx|Work loss days", US_national_yearly!$D:$AM, 10, FALSE), 1)</f>
        <v>0.10072225610159428</v>
      </c>
      <c r="AB15" s="7">
        <f>$B15 * IFERROR(VLOOKUP("buildings|NOx|Work loss days", US_national_yearly!$D:$AM, 36, FALSE) / VLOOKUP("buildings|NOx|Work loss days", US_national_yearly!$D:$AM, 10, FALSE), 1)</f>
        <v>0.10130896848518393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1.095709202858873E-4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1.1279231507867737E-4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1.1601370987146748E-4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1.1923510466425755E-4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1.2245649945704761E-4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1.2551676592075986E-4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1.2857703238447208E-4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1.3115194447302971E-4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1.3372685656158734E-4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1.3630176865014494E-4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1.3887668073870254E-4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1.4145159282726011E-4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1.4306228829571925E-4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1.4467298376417834E-4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1.4628367923263746E-4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1.4789437470109657E-4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1.4950507016955566E-4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1.5024104275814242E-4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1.5097701534672918E-4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1.5171298793531594E-4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1.524489605239027E-4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1.5318493311248946E-4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1.535951568023765E-4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1.5400538049226354E-4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1.5441560418215058E-4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1.5482582787203764E-4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1.5523605156192465E-4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2.3562788562255291E-3</v>
      </c>
      <c r="C2" s="7">
        <f>$B2 * IFERROR(VLOOKUP("buildings|SO2|Premature mortality", US_national_yearly!$D:$AM, 11, FALSE) / VLOOKUP("buildings|SO2|Premature mortality", US_national_yearly!$D:$AM, 10, FALSE), 1)</f>
        <v>2.3861291671732599E-3</v>
      </c>
      <c r="D2" s="7">
        <f>$B2 * IFERROR(VLOOKUP("buildings|SO2|Premature mortality", US_national_yearly!$D:$AM, 12, FALSE) / VLOOKUP("buildings|SO2|Premature mortality", US_national_yearly!$D:$AM, 10, FALSE), 1)</f>
        <v>2.4159794781209902E-3</v>
      </c>
      <c r="E2" s="7">
        <f>$B2 * IFERROR(VLOOKUP("buildings|SO2|Premature mortality", US_national_yearly!$D:$AM, 13, FALSE) / VLOOKUP("buildings|SO2|Premature mortality", US_national_yearly!$D:$AM, 10, FALSE), 1)</f>
        <v>2.445829789068721E-3</v>
      </c>
      <c r="F2" s="7">
        <f>$B2 * IFERROR(VLOOKUP("buildings|SO2|Premature mortality", US_national_yearly!$D:$AM, 14, FALSE) / VLOOKUP("buildings|SO2|Premature mortality", US_national_yearly!$D:$AM, 10, FALSE), 1)</f>
        <v>2.4756801000164518E-3</v>
      </c>
      <c r="G2" s="7">
        <f>$B2 * IFERROR(VLOOKUP("buildings|SO2|Premature mortality", US_national_yearly!$D:$AM, 15, FALSE) / VLOOKUP("buildings|SO2|Premature mortality", US_national_yearly!$D:$AM, 10, FALSE), 1)</f>
        <v>2.5331955923711589E-3</v>
      </c>
      <c r="H2" s="7">
        <f>$B2 * IFERROR(VLOOKUP("buildings|SO2|Premature mortality", US_national_yearly!$D:$AM, 16, FALSE) / VLOOKUP("buildings|SO2|Premature mortality", US_national_yearly!$D:$AM, 10, FALSE), 1)</f>
        <v>2.5907110847258664E-3</v>
      </c>
      <c r="I2" s="7">
        <f>$B2 * IFERROR(VLOOKUP("buildings|SO2|Premature mortality", US_national_yearly!$D:$AM, 17, FALSE) / VLOOKUP("buildings|SO2|Premature mortality", US_national_yearly!$D:$AM, 10, FALSE), 1)</f>
        <v>2.6287399979114182E-3</v>
      </c>
      <c r="J2" s="7">
        <f>$B2 * IFERROR(VLOOKUP("buildings|SO2|Premature mortality", US_national_yearly!$D:$AM, 18, FALSE) / VLOOKUP("buildings|SO2|Premature mortality", US_national_yearly!$D:$AM, 10, FALSE), 1)</f>
        <v>2.6667689110969691E-3</v>
      </c>
      <c r="K2" s="7">
        <f>$B2 * IFERROR(VLOOKUP("buildings|SO2|Premature mortality", US_national_yearly!$D:$AM, 19, FALSE) / VLOOKUP("buildings|SO2|Premature mortality", US_national_yearly!$D:$AM, 10, FALSE), 1)</f>
        <v>2.7047978242825204E-3</v>
      </c>
      <c r="L2" s="7">
        <f>$B2 * IFERROR(VLOOKUP("buildings|SO2|Premature mortality", US_national_yearly!$D:$AM, 20, FALSE) / VLOOKUP("buildings|SO2|Premature mortality", US_national_yearly!$D:$AM, 10, FALSE), 1)</f>
        <v>2.7428267374680717E-3</v>
      </c>
      <c r="M2" s="7">
        <f>$B2 * IFERROR(VLOOKUP("buildings|SO2|Premature mortality", US_national_yearly!$D:$AM, 21, FALSE) / VLOOKUP("buildings|SO2|Premature mortality", US_national_yearly!$D:$AM, 10, FALSE), 1)</f>
        <v>2.780855650653623E-3</v>
      </c>
      <c r="N2" s="7">
        <f>$B2 * IFERROR(VLOOKUP("buildings|SO2|Premature mortality", US_national_yearly!$D:$AM, 22, FALSE) / VLOOKUP("buildings|SO2|Premature mortality", US_national_yearly!$D:$AM, 10, FALSE), 1)</f>
        <v>2.8105625018410986E-3</v>
      </c>
      <c r="O2" s="7">
        <f>$B2 * IFERROR(VLOOKUP("buildings|SO2|Premature mortality", US_national_yearly!$D:$AM, 23, FALSE) / VLOOKUP("buildings|SO2|Premature mortality", US_national_yearly!$D:$AM, 10, FALSE), 1)</f>
        <v>2.8402693530285728E-3</v>
      </c>
      <c r="P2" s="7">
        <f>$B2 * IFERROR(VLOOKUP("buildings|SO2|Premature mortality", US_national_yearly!$D:$AM, 24, FALSE) / VLOOKUP("buildings|SO2|Premature mortality", US_national_yearly!$D:$AM, 10, FALSE), 1)</f>
        <v>2.8699762042160479E-3</v>
      </c>
      <c r="Q2" s="7">
        <f>$B2 * IFERROR(VLOOKUP("buildings|SO2|Premature mortality", US_national_yearly!$D:$AM, 25, FALSE) / VLOOKUP("buildings|SO2|Premature mortality", US_national_yearly!$D:$AM, 10, FALSE), 1)</f>
        <v>2.8996830554035226E-3</v>
      </c>
      <c r="R2" s="7">
        <f>$B2 * IFERROR(VLOOKUP("buildings|SO2|Premature mortality", US_national_yearly!$D:$AM, 26, FALSE) / VLOOKUP("buildings|SO2|Premature mortality", US_national_yearly!$D:$AM, 10, FALSE), 1)</f>
        <v>2.9293899065909977E-3</v>
      </c>
      <c r="S2" s="7">
        <f>$B2 * IFERROR(VLOOKUP("buildings|SO2|Premature mortality", US_national_yearly!$D:$AM, 27, FALSE) / VLOOKUP("buildings|SO2|Premature mortality", US_national_yearly!$D:$AM, 10, FALSE), 1)</f>
        <v>2.9452893524425498E-3</v>
      </c>
      <c r="T2" s="7">
        <f>$B2 * IFERROR(VLOOKUP("buildings|SO2|Premature mortality", US_national_yearly!$D:$AM, 28, FALSE) / VLOOKUP("buildings|SO2|Premature mortality", US_national_yearly!$D:$AM, 10, FALSE), 1)</f>
        <v>2.9611887982941018E-3</v>
      </c>
      <c r="U2" s="7">
        <f>$B2 * IFERROR(VLOOKUP("buildings|SO2|Premature mortality", US_national_yearly!$D:$AM, 29, FALSE) / VLOOKUP("buildings|SO2|Premature mortality", US_national_yearly!$D:$AM, 10, FALSE), 1)</f>
        <v>2.9770882441456539E-3</v>
      </c>
      <c r="V2" s="7">
        <f>$B2 * IFERROR(VLOOKUP("buildings|SO2|Premature mortality", US_national_yearly!$D:$AM, 30, FALSE) / VLOOKUP("buildings|SO2|Premature mortality", US_national_yearly!$D:$AM, 10, FALSE), 1)</f>
        <v>2.9929876899972064E-3</v>
      </c>
      <c r="W2" s="7">
        <f>$B2 * IFERROR(VLOOKUP("buildings|SO2|Premature mortality", US_national_yearly!$D:$AM, 31, FALSE) / VLOOKUP("buildings|SO2|Premature mortality", US_national_yearly!$D:$AM, 10, FALSE), 1)</f>
        <v>3.008887135848758E-3</v>
      </c>
      <c r="X2" s="7">
        <f>$B2 * IFERROR(VLOOKUP("buildings|SO2|Premature mortality", US_national_yearly!$D:$AM, 32, FALSE) / VLOOKUP("buildings|SO2|Premature mortality", US_national_yearly!$D:$AM, 10, FALSE), 1)</f>
        <v>3.0120998566761522E-3</v>
      </c>
      <c r="Y2" s="7">
        <f>$B2 * IFERROR(VLOOKUP("buildings|SO2|Premature mortality", US_national_yearly!$D:$AM, 33, FALSE) / VLOOKUP("buildings|SO2|Premature mortality", US_national_yearly!$D:$AM, 10, FALSE), 1)</f>
        <v>3.0153125775035459E-3</v>
      </c>
      <c r="Z2" s="7">
        <f>$B2 * IFERROR(VLOOKUP("buildings|SO2|Premature mortality", US_national_yearly!$D:$AM, 34, FALSE) / VLOOKUP("buildings|SO2|Premature mortality", US_national_yearly!$D:$AM, 10, FALSE), 1)</f>
        <v>3.0185252983309396E-3</v>
      </c>
      <c r="AA2" s="7">
        <f>$B2 * IFERROR(VLOOKUP("buildings|SO2|Premature mortality", US_national_yearly!$D:$AM, 35, FALSE) / VLOOKUP("buildings|SO2|Premature mortality", US_national_yearly!$D:$AM, 10, FALSE), 1)</f>
        <v>3.0217380191583337E-3</v>
      </c>
      <c r="AB2" s="7">
        <f>$B2 * IFERROR(VLOOKUP("buildings|SO2|Premature mortality", US_national_yearly!$D:$AM, 36, FALSE) / VLOOKUP("buildings|SO2|Premature mortality", US_national_yearly!$D:$AM, 10, FALSE), 1)</f>
        <v>3.0249507399857274E-3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5.9180418682490579E-6</v>
      </c>
      <c r="C3" s="7">
        <f>$B3 * IFERROR(VLOOKUP("buildings|SO2|Infant mortality", US_national_yearly!$D:$AM, 11, FALSE) / VLOOKUP("buildings|SO2|Infant mortality", US_national_yearly!$D:$AM, 10, FALSE), 1)</f>
        <v>5.8673159215481838E-6</v>
      </c>
      <c r="D3" s="7">
        <f>$B3 * IFERROR(VLOOKUP("buildings|SO2|Infant mortality", US_national_yearly!$D:$AM, 12, FALSE) / VLOOKUP("buildings|SO2|Infant mortality", US_national_yearly!$D:$AM, 10, FALSE), 1)</f>
        <v>5.8165899748473105E-6</v>
      </c>
      <c r="E3" s="7">
        <f>$B3 * IFERROR(VLOOKUP("buildings|SO2|Infant mortality", US_national_yearly!$D:$AM, 13, FALSE) / VLOOKUP("buildings|SO2|Infant mortality", US_national_yearly!$D:$AM, 10, FALSE), 1)</f>
        <v>5.7658640281464373E-6</v>
      </c>
      <c r="F3" s="7">
        <f>$B3 * IFERROR(VLOOKUP("buildings|SO2|Infant mortality", US_national_yearly!$D:$AM, 14, FALSE) / VLOOKUP("buildings|SO2|Infant mortality", US_national_yearly!$D:$AM, 10, FALSE), 1)</f>
        <v>5.715138081445564E-6</v>
      </c>
      <c r="G3" s="7">
        <f>$B3 * IFERROR(VLOOKUP("buildings|SO2|Infant mortality", US_national_yearly!$D:$AM, 15, FALSE) / VLOOKUP("buildings|SO2|Infant mortality", US_national_yearly!$D:$AM, 10, FALSE), 1)</f>
        <v>3.8060555470839567E-6</v>
      </c>
      <c r="H3" s="7">
        <f>$B3 * IFERROR(VLOOKUP("buildings|SO2|Infant mortality", US_national_yearly!$D:$AM, 16, FALSE) / VLOOKUP("buildings|SO2|Infant mortality", US_national_yearly!$D:$AM, 10, FALSE), 1)</f>
        <v>1.8969730127223498E-6</v>
      </c>
      <c r="I3" s="7">
        <f>$B3 * IFERROR(VLOOKUP("buildings|SO2|Infant mortality", US_national_yearly!$D:$AM, 17, FALSE) / VLOOKUP("buildings|SO2|Infant mortality", US_national_yearly!$D:$AM, 10, FALSE), 1)</f>
        <v>1.885071194557867E-6</v>
      </c>
      <c r="J3" s="7">
        <f>$B3 * IFERROR(VLOOKUP("buildings|SO2|Infant mortality", US_national_yearly!$D:$AM, 18, FALSE) / VLOOKUP("buildings|SO2|Infant mortality", US_national_yearly!$D:$AM, 10, FALSE), 1)</f>
        <v>1.8731693763933839E-6</v>
      </c>
      <c r="K3" s="7">
        <f>$B3 * IFERROR(VLOOKUP("buildings|SO2|Infant mortality", US_national_yearly!$D:$AM, 19, FALSE) / VLOOKUP("buildings|SO2|Infant mortality", US_national_yearly!$D:$AM, 10, FALSE), 1)</f>
        <v>1.861267558228901E-6</v>
      </c>
      <c r="L3" s="7">
        <f>$B3 * IFERROR(VLOOKUP("buildings|SO2|Infant mortality", US_national_yearly!$D:$AM, 20, FALSE) / VLOOKUP("buildings|SO2|Infant mortality", US_national_yearly!$D:$AM, 10, FALSE), 1)</f>
        <v>1.8493657400644178E-6</v>
      </c>
      <c r="M3" s="7">
        <f>$B3 * IFERROR(VLOOKUP("buildings|SO2|Infant mortality", US_national_yearly!$D:$AM, 21, FALSE) / VLOOKUP("buildings|SO2|Infant mortality", US_national_yearly!$D:$AM, 10, FALSE), 1)</f>
        <v>1.8374639218999351E-6</v>
      </c>
      <c r="N3" s="7">
        <f>$B3 * IFERROR(VLOOKUP("buildings|SO2|Infant mortality", US_national_yearly!$D:$AM, 22, FALSE) / VLOOKUP("buildings|SO2|Infant mortality", US_national_yearly!$D:$AM, 10, FALSE), 1)</f>
        <v>1.8300027462650346E-6</v>
      </c>
      <c r="O3" s="7">
        <f>$B3 * IFERROR(VLOOKUP("buildings|SO2|Infant mortality", US_national_yearly!$D:$AM, 23, FALSE) / VLOOKUP("buildings|SO2|Infant mortality", US_national_yearly!$D:$AM, 10, FALSE), 1)</f>
        <v>1.8225415706301342E-6</v>
      </c>
      <c r="P3" s="7">
        <f>$B3 * IFERROR(VLOOKUP("buildings|SO2|Infant mortality", US_national_yearly!$D:$AM, 24, FALSE) / VLOOKUP("buildings|SO2|Infant mortality", US_national_yearly!$D:$AM, 10, FALSE), 1)</f>
        <v>1.8150803949952339E-6</v>
      </c>
      <c r="Q3" s="7">
        <f>$B3 * IFERROR(VLOOKUP("buildings|SO2|Infant mortality", US_national_yearly!$D:$AM, 25, FALSE) / VLOOKUP("buildings|SO2|Infant mortality", US_national_yearly!$D:$AM, 10, FALSE), 1)</f>
        <v>1.8076192193603333E-6</v>
      </c>
      <c r="R3" s="7">
        <f>$B3 * IFERROR(VLOOKUP("buildings|SO2|Infant mortality", US_national_yearly!$D:$AM, 26, FALSE) / VLOOKUP("buildings|SO2|Infant mortality", US_national_yearly!$D:$AM, 10, FALSE), 1)</f>
        <v>1.800158043725433E-6</v>
      </c>
      <c r="S3" s="7">
        <f>$B3 * IFERROR(VLOOKUP("buildings|SO2|Infant mortality", US_national_yearly!$D:$AM, 27, FALSE) / VLOOKUP("buildings|SO2|Infant mortality", US_national_yearly!$D:$AM, 10, FALSE), 1)</f>
        <v>1.7907891725519544E-6</v>
      </c>
      <c r="T3" s="7">
        <f>$B3 * IFERROR(VLOOKUP("buildings|SO2|Infant mortality", US_national_yearly!$D:$AM, 28, FALSE) / VLOOKUP("buildings|SO2|Infant mortality", US_national_yearly!$D:$AM, 10, FALSE), 1)</f>
        <v>1.7814203013784758E-6</v>
      </c>
      <c r="U3" s="7">
        <f>$B3 * IFERROR(VLOOKUP("buildings|SO2|Infant mortality", US_national_yearly!$D:$AM, 29, FALSE) / VLOOKUP("buildings|SO2|Infant mortality", US_national_yearly!$D:$AM, 10, FALSE), 1)</f>
        <v>1.7720514302049972E-6</v>
      </c>
      <c r="V3" s="7">
        <f>$B3 * IFERROR(VLOOKUP("buildings|SO2|Infant mortality", US_national_yearly!$D:$AM, 30, FALSE) / VLOOKUP("buildings|SO2|Infant mortality", US_national_yearly!$D:$AM, 10, FALSE), 1)</f>
        <v>1.7626825590315183E-6</v>
      </c>
      <c r="W3" s="7">
        <f>$B3 * IFERROR(VLOOKUP("buildings|SO2|Infant mortality", US_national_yearly!$D:$AM, 31, FALSE) / VLOOKUP("buildings|SO2|Infant mortality", US_national_yearly!$D:$AM, 10, FALSE), 1)</f>
        <v>1.7533136878580397E-6</v>
      </c>
      <c r="X3" s="7">
        <f>$B3 * IFERROR(VLOOKUP("buildings|SO2|Infant mortality", US_national_yearly!$D:$AM, 32, FALSE) / VLOOKUP("buildings|SO2|Infant mortality", US_national_yearly!$D:$AM, 10, FALSE), 1)</f>
        <v>1.7430813960241747E-6</v>
      </c>
      <c r="Y3" s="7">
        <f>$B3 * IFERROR(VLOOKUP("buildings|SO2|Infant mortality", US_national_yearly!$D:$AM, 33, FALSE) / VLOOKUP("buildings|SO2|Infant mortality", US_national_yearly!$D:$AM, 10, FALSE), 1)</f>
        <v>1.7328491041903097E-6</v>
      </c>
      <c r="Z3" s="7">
        <f>$B3 * IFERROR(VLOOKUP("buildings|SO2|Infant mortality", US_national_yearly!$D:$AM, 34, FALSE) / VLOOKUP("buildings|SO2|Infant mortality", US_national_yearly!$D:$AM, 10, FALSE), 1)</f>
        <v>1.722616812356445E-6</v>
      </c>
      <c r="AA3" s="7">
        <f>$B3 * IFERROR(VLOOKUP("buildings|SO2|Infant mortality", US_national_yearly!$D:$AM, 35, FALSE) / VLOOKUP("buildings|SO2|Infant mortality", US_national_yearly!$D:$AM, 10, FALSE), 1)</f>
        <v>1.7123845205225796E-6</v>
      </c>
      <c r="AB3" s="7">
        <f>$B3 * IFERROR(VLOOKUP("buildings|SO2|Infant mortality", US_national_yearly!$D:$AM, 36, FALSE) / VLOOKUP("buildings|SO2|Infant mortality", US_national_yearly!$D:$AM, 10, FALSE), 1)</f>
        <v>1.702152228688715E-6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6.9768842246449563E-3</v>
      </c>
      <c r="C6" s="7">
        <f>$B6 * IFERROR(VLOOKUP("buildings|SO2|Asthma symptoms cough", US_national_yearly!$D:$AM, 11, FALSE) / VLOOKUP("buildings|SO2|Asthma symptoms cough", US_national_yearly!$D:$AM, 10, FALSE), 1)</f>
        <v>6.9768842246449563E-3</v>
      </c>
      <c r="D6" s="7">
        <f>$B6 * IFERROR(VLOOKUP("buildings|SO2|Asthma symptoms cough", US_national_yearly!$D:$AM, 12, FALSE) / VLOOKUP("buildings|SO2|Asthma symptoms cough", US_national_yearly!$D:$AM, 10, FALSE), 1)</f>
        <v>6.9768842246449563E-3</v>
      </c>
      <c r="E6" s="7">
        <f>$B6 * IFERROR(VLOOKUP("buildings|SO2|Asthma symptoms cough", US_national_yearly!$D:$AM, 13, FALSE) / VLOOKUP("buildings|SO2|Asthma symptoms cough", US_national_yearly!$D:$AM, 10, FALSE), 1)</f>
        <v>6.9768842246449563E-3</v>
      </c>
      <c r="F6" s="7">
        <f>$B6 * IFERROR(VLOOKUP("buildings|SO2|Asthma symptoms cough", US_national_yearly!$D:$AM, 14, FALSE) / VLOOKUP("buildings|SO2|Asthma symptoms cough", US_national_yearly!$D:$AM, 10, FALSE), 1)</f>
        <v>6.9768842246449563E-3</v>
      </c>
      <c r="G6" s="7">
        <f>$B6 * IFERROR(VLOOKUP("buildings|SO2|Asthma symptoms cough", US_national_yearly!$D:$AM, 15, FALSE) / VLOOKUP("buildings|SO2|Asthma symptoms cough", US_national_yearly!$D:$AM, 10, FALSE), 1)</f>
        <v>6.9768842246449563E-3</v>
      </c>
      <c r="H6" s="7">
        <f>$B6 * IFERROR(VLOOKUP("buildings|SO2|Asthma symptoms cough", US_national_yearly!$D:$AM, 16, FALSE) / VLOOKUP("buildings|SO2|Asthma symptoms cough", US_national_yearly!$D:$AM, 10, FALSE), 1)</f>
        <v>6.9768842246449563E-3</v>
      </c>
      <c r="I6" s="7">
        <f>$B6 * IFERROR(VLOOKUP("buildings|SO2|Asthma symptoms cough", US_national_yearly!$D:$AM, 17, FALSE) / VLOOKUP("buildings|SO2|Asthma symptoms cough", US_national_yearly!$D:$AM, 10, FALSE), 1)</f>
        <v>6.9768842246449563E-3</v>
      </c>
      <c r="J6" s="7">
        <f>$B6 * IFERROR(VLOOKUP("buildings|SO2|Asthma symptoms cough", US_national_yearly!$D:$AM, 18, FALSE) / VLOOKUP("buildings|SO2|Asthma symptoms cough", US_national_yearly!$D:$AM, 10, FALSE), 1)</f>
        <v>6.9768842246449563E-3</v>
      </c>
      <c r="K6" s="7">
        <f>$B6 * IFERROR(VLOOKUP("buildings|SO2|Asthma symptoms cough", US_national_yearly!$D:$AM, 19, FALSE) / VLOOKUP("buildings|SO2|Asthma symptoms cough", US_national_yearly!$D:$AM, 10, FALSE), 1)</f>
        <v>6.9768842246449563E-3</v>
      </c>
      <c r="L6" s="7">
        <f>$B6 * IFERROR(VLOOKUP("buildings|SO2|Asthma symptoms cough", US_national_yearly!$D:$AM, 20, FALSE) / VLOOKUP("buildings|SO2|Asthma symptoms cough", US_national_yearly!$D:$AM, 10, FALSE), 1)</f>
        <v>6.9768842246449563E-3</v>
      </c>
      <c r="M6" s="7">
        <f>$B6 * IFERROR(VLOOKUP("buildings|SO2|Asthma symptoms cough", US_national_yearly!$D:$AM, 21, FALSE) / VLOOKUP("buildings|SO2|Asthma symptoms cough", US_national_yearly!$D:$AM, 10, FALSE), 1)</f>
        <v>6.9768842246449563E-3</v>
      </c>
      <c r="N6" s="7">
        <f>$B6 * IFERROR(VLOOKUP("buildings|SO2|Asthma symptoms cough", US_national_yearly!$D:$AM, 22, FALSE) / VLOOKUP("buildings|SO2|Asthma symptoms cough", US_national_yearly!$D:$AM, 10, FALSE), 1)</f>
        <v>6.9768842246449563E-3</v>
      </c>
      <c r="O6" s="7">
        <f>$B6 * IFERROR(VLOOKUP("buildings|SO2|Asthma symptoms cough", US_national_yearly!$D:$AM, 23, FALSE) / VLOOKUP("buildings|SO2|Asthma symptoms cough", US_national_yearly!$D:$AM, 10, FALSE), 1)</f>
        <v>6.9768842246449563E-3</v>
      </c>
      <c r="P6" s="7">
        <f>$B6 * IFERROR(VLOOKUP("buildings|SO2|Asthma symptoms cough", US_national_yearly!$D:$AM, 24, FALSE) / VLOOKUP("buildings|SO2|Asthma symptoms cough", US_national_yearly!$D:$AM, 10, FALSE), 1)</f>
        <v>6.9768842246449563E-3</v>
      </c>
      <c r="Q6" s="7">
        <f>$B6 * IFERROR(VLOOKUP("buildings|SO2|Asthma symptoms cough", US_national_yearly!$D:$AM, 25, FALSE) / VLOOKUP("buildings|SO2|Asthma symptoms cough", US_national_yearly!$D:$AM, 10, FALSE), 1)</f>
        <v>6.9768842246449563E-3</v>
      </c>
      <c r="R6" s="7">
        <f>$B6 * IFERROR(VLOOKUP("buildings|SO2|Asthma symptoms cough", US_national_yearly!$D:$AM, 26, FALSE) / VLOOKUP("buildings|SO2|Asthma symptoms cough", US_national_yearly!$D:$AM, 10, FALSE), 1)</f>
        <v>6.9768842246449563E-3</v>
      </c>
      <c r="S6" s="7">
        <f>$B6 * IFERROR(VLOOKUP("buildings|SO2|Asthma symptoms cough", US_national_yearly!$D:$AM, 27, FALSE) / VLOOKUP("buildings|SO2|Asthma symptoms cough", US_national_yearly!$D:$AM, 10, FALSE), 1)</f>
        <v>6.9768842246449563E-3</v>
      </c>
      <c r="T6" s="7">
        <f>$B6 * IFERROR(VLOOKUP("buildings|SO2|Asthma symptoms cough", US_national_yearly!$D:$AM, 28, FALSE) / VLOOKUP("buildings|SO2|Asthma symptoms cough", US_national_yearly!$D:$AM, 10, FALSE), 1)</f>
        <v>6.9768842246449563E-3</v>
      </c>
      <c r="U6" s="7">
        <f>$B6 * IFERROR(VLOOKUP("buildings|SO2|Asthma symptoms cough", US_national_yearly!$D:$AM, 29, FALSE) / VLOOKUP("buildings|SO2|Asthma symptoms cough", US_national_yearly!$D:$AM, 10, FALSE), 1)</f>
        <v>6.9768842246449563E-3</v>
      </c>
      <c r="V6" s="7">
        <f>$B6 * IFERROR(VLOOKUP("buildings|SO2|Asthma symptoms cough", US_national_yearly!$D:$AM, 30, FALSE) / VLOOKUP("buildings|SO2|Asthma symptoms cough", US_national_yearly!$D:$AM, 10, FALSE), 1)</f>
        <v>6.9768842246449563E-3</v>
      </c>
      <c r="W6" s="7">
        <f>$B6 * IFERROR(VLOOKUP("buildings|SO2|Asthma symptoms cough", US_national_yearly!$D:$AM, 31, FALSE) / VLOOKUP("buildings|SO2|Asthma symptoms cough", US_national_yearly!$D:$AM, 10, FALSE), 1)</f>
        <v>6.9768842246449563E-3</v>
      </c>
      <c r="X6" s="7">
        <f>$B6 * IFERROR(VLOOKUP("buildings|SO2|Asthma symptoms cough", US_national_yearly!$D:$AM, 32, FALSE) / VLOOKUP("buildings|SO2|Asthma symptoms cough", US_national_yearly!$D:$AM, 10, FALSE), 1)</f>
        <v>6.9768842246449563E-3</v>
      </c>
      <c r="Y6" s="7">
        <f>$B6 * IFERROR(VLOOKUP("buildings|SO2|Asthma symptoms cough", US_national_yearly!$D:$AM, 33, FALSE) / VLOOKUP("buildings|SO2|Asthma symptoms cough", US_national_yearly!$D:$AM, 10, FALSE), 1)</f>
        <v>6.9768842246449563E-3</v>
      </c>
      <c r="Z6" s="7">
        <f>$B6 * IFERROR(VLOOKUP("buildings|SO2|Asthma symptoms cough", US_national_yearly!$D:$AM, 34, FALSE) / VLOOKUP("buildings|SO2|Asthma symptoms cough", US_national_yearly!$D:$AM, 10, FALSE), 1)</f>
        <v>6.9768842246449563E-3</v>
      </c>
      <c r="AA6" s="7">
        <f>$B6 * IFERROR(VLOOKUP("buildings|SO2|Asthma symptoms cough", US_national_yearly!$D:$AM, 35, FALSE) / VLOOKUP("buildings|SO2|Asthma symptoms cough", US_national_yearly!$D:$AM, 10, FALSE), 1)</f>
        <v>6.9768842246449563E-3</v>
      </c>
      <c r="AB6" s="7">
        <f>$B6 * IFERROR(VLOOKUP("buildings|SO2|Asthma symptoms cough", US_national_yearly!$D:$AM, 36, FALSE) / VLOOKUP("buildings|SO2|Asthma symptoms cough", US_national_yearly!$D:$AM, 10, FALSE), 1)</f>
        <v>6.9768842246449563E-3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9.3953931307603211E-3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9.3953931307603211E-3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9.3953931307603211E-3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9.3953931307603211E-3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9.3953931307603211E-3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9.3953931307603211E-3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9.3953931307603211E-3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9.3953931307603211E-3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9.3953931307603211E-3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9.3953931307603211E-3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9.3953931307603211E-3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9.3953931307603211E-3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9.3953931307603211E-3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9.3953931307603211E-3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9.3953931307603211E-3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9.3953931307603211E-3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9.3953931307603211E-3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9.3953931307603211E-3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9.3953931307603211E-3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9.3953931307603211E-3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9.3953931307603211E-3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9.3953931307603211E-3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9.3953931307603211E-3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9.3953931307603211E-3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9.3953931307603211E-3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9.3953931307603211E-3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9.3953931307603211E-3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1.435454652130524E-2</v>
      </c>
      <c r="C8" s="7">
        <f>$B8 * IFERROR(VLOOKUP("buildings|SO2|Asthma symptoms wheeze", US_national_yearly!$D:$AM, 11, FALSE) / VLOOKUP("buildings|SO2|Asthma symptoms wheeze", US_national_yearly!$D:$AM, 10, FALSE), 1)</f>
        <v>1.435454652130524E-2</v>
      </c>
      <c r="D8" s="7">
        <f>$B8 * IFERROR(VLOOKUP("buildings|SO2|Asthma symptoms wheeze", US_national_yearly!$D:$AM, 12, FALSE) / VLOOKUP("buildings|SO2|Asthma symptoms wheeze", US_national_yearly!$D:$AM, 10, FALSE), 1)</f>
        <v>1.435454652130524E-2</v>
      </c>
      <c r="E8" s="7">
        <f>$B8 * IFERROR(VLOOKUP("buildings|SO2|Asthma symptoms wheeze", US_national_yearly!$D:$AM, 13, FALSE) / VLOOKUP("buildings|SO2|Asthma symptoms wheeze", US_national_yearly!$D:$AM, 10, FALSE), 1)</f>
        <v>1.435454652130524E-2</v>
      </c>
      <c r="F8" s="7">
        <f>$B8 * IFERROR(VLOOKUP("buildings|SO2|Asthma symptoms wheeze", US_national_yearly!$D:$AM, 14, FALSE) / VLOOKUP("buildings|SO2|Asthma symptoms wheeze", US_national_yearly!$D:$AM, 10, FALSE), 1)</f>
        <v>1.435454652130524E-2</v>
      </c>
      <c r="G8" s="7">
        <f>$B8 * IFERROR(VLOOKUP("buildings|SO2|Asthma symptoms wheeze", US_national_yearly!$D:$AM, 15, FALSE) / VLOOKUP("buildings|SO2|Asthma symptoms wheeze", US_national_yearly!$D:$AM, 10, FALSE), 1)</f>
        <v>1.435454652130524E-2</v>
      </c>
      <c r="H8" s="7">
        <f>$B8 * IFERROR(VLOOKUP("buildings|SO2|Asthma symptoms wheeze", US_national_yearly!$D:$AM, 16, FALSE) / VLOOKUP("buildings|SO2|Asthma symptoms wheeze", US_national_yearly!$D:$AM, 10, FALSE), 1)</f>
        <v>1.435454652130524E-2</v>
      </c>
      <c r="I8" s="7">
        <f>$B8 * IFERROR(VLOOKUP("buildings|SO2|Asthma symptoms wheeze", US_national_yearly!$D:$AM, 17, FALSE) / VLOOKUP("buildings|SO2|Asthma symptoms wheeze", US_national_yearly!$D:$AM, 10, FALSE), 1)</f>
        <v>1.435454652130524E-2</v>
      </c>
      <c r="J8" s="7">
        <f>$B8 * IFERROR(VLOOKUP("buildings|SO2|Asthma symptoms wheeze", US_national_yearly!$D:$AM, 18, FALSE) / VLOOKUP("buildings|SO2|Asthma symptoms wheeze", US_national_yearly!$D:$AM, 10, FALSE), 1)</f>
        <v>1.435454652130524E-2</v>
      </c>
      <c r="K8" s="7">
        <f>$B8 * IFERROR(VLOOKUP("buildings|SO2|Asthma symptoms wheeze", US_national_yearly!$D:$AM, 19, FALSE) / VLOOKUP("buildings|SO2|Asthma symptoms wheeze", US_national_yearly!$D:$AM, 10, FALSE), 1)</f>
        <v>1.435454652130524E-2</v>
      </c>
      <c r="L8" s="7">
        <f>$B8 * IFERROR(VLOOKUP("buildings|SO2|Asthma symptoms wheeze", US_national_yearly!$D:$AM, 20, FALSE) / VLOOKUP("buildings|SO2|Asthma symptoms wheeze", US_national_yearly!$D:$AM, 10, FALSE), 1)</f>
        <v>1.435454652130524E-2</v>
      </c>
      <c r="M8" s="7">
        <f>$B8 * IFERROR(VLOOKUP("buildings|SO2|Asthma symptoms wheeze", US_national_yearly!$D:$AM, 21, FALSE) / VLOOKUP("buildings|SO2|Asthma symptoms wheeze", US_national_yearly!$D:$AM, 10, FALSE), 1)</f>
        <v>1.435454652130524E-2</v>
      </c>
      <c r="N8" s="7">
        <f>$B8 * IFERROR(VLOOKUP("buildings|SO2|Asthma symptoms wheeze", US_national_yearly!$D:$AM, 22, FALSE) / VLOOKUP("buildings|SO2|Asthma symptoms wheeze", US_national_yearly!$D:$AM, 10, FALSE), 1)</f>
        <v>1.435454652130524E-2</v>
      </c>
      <c r="O8" s="7">
        <f>$B8 * IFERROR(VLOOKUP("buildings|SO2|Asthma symptoms wheeze", US_national_yearly!$D:$AM, 23, FALSE) / VLOOKUP("buildings|SO2|Asthma symptoms wheeze", US_national_yearly!$D:$AM, 10, FALSE), 1)</f>
        <v>1.435454652130524E-2</v>
      </c>
      <c r="P8" s="7">
        <f>$B8 * IFERROR(VLOOKUP("buildings|SO2|Asthma symptoms wheeze", US_national_yearly!$D:$AM, 24, FALSE) / VLOOKUP("buildings|SO2|Asthma symptoms wheeze", US_national_yearly!$D:$AM, 10, FALSE), 1)</f>
        <v>1.435454652130524E-2</v>
      </c>
      <c r="Q8" s="7">
        <f>$B8 * IFERROR(VLOOKUP("buildings|SO2|Asthma symptoms wheeze", US_national_yearly!$D:$AM, 25, FALSE) / VLOOKUP("buildings|SO2|Asthma symptoms wheeze", US_national_yearly!$D:$AM, 10, FALSE), 1)</f>
        <v>1.435454652130524E-2</v>
      </c>
      <c r="R8" s="7">
        <f>$B8 * IFERROR(VLOOKUP("buildings|SO2|Asthma symptoms wheeze", US_national_yearly!$D:$AM, 26, FALSE) / VLOOKUP("buildings|SO2|Asthma symptoms wheeze", US_national_yearly!$D:$AM, 10, FALSE), 1)</f>
        <v>1.435454652130524E-2</v>
      </c>
      <c r="S8" s="7">
        <f>$B8 * IFERROR(VLOOKUP("buildings|SO2|Asthma symptoms wheeze", US_national_yearly!$D:$AM, 27, FALSE) / VLOOKUP("buildings|SO2|Asthma symptoms wheeze", US_national_yearly!$D:$AM, 10, FALSE), 1)</f>
        <v>1.435454652130524E-2</v>
      </c>
      <c r="T8" s="7">
        <f>$B8 * IFERROR(VLOOKUP("buildings|SO2|Asthma symptoms wheeze", US_national_yearly!$D:$AM, 28, FALSE) / VLOOKUP("buildings|SO2|Asthma symptoms wheeze", US_national_yearly!$D:$AM, 10, FALSE), 1)</f>
        <v>1.435454652130524E-2</v>
      </c>
      <c r="U8" s="7">
        <f>$B8 * IFERROR(VLOOKUP("buildings|SO2|Asthma symptoms wheeze", US_national_yearly!$D:$AM, 29, FALSE) / VLOOKUP("buildings|SO2|Asthma symptoms wheeze", US_national_yearly!$D:$AM, 10, FALSE), 1)</f>
        <v>1.435454652130524E-2</v>
      </c>
      <c r="V8" s="7">
        <f>$B8 * IFERROR(VLOOKUP("buildings|SO2|Asthma symptoms wheeze", US_national_yearly!$D:$AM, 30, FALSE) / VLOOKUP("buildings|SO2|Asthma symptoms wheeze", US_national_yearly!$D:$AM, 10, FALSE), 1)</f>
        <v>1.435454652130524E-2</v>
      </c>
      <c r="W8" s="7">
        <f>$B8 * IFERROR(VLOOKUP("buildings|SO2|Asthma symptoms wheeze", US_national_yearly!$D:$AM, 31, FALSE) / VLOOKUP("buildings|SO2|Asthma symptoms wheeze", US_national_yearly!$D:$AM, 10, FALSE), 1)</f>
        <v>1.435454652130524E-2</v>
      </c>
      <c r="X8" s="7">
        <f>$B8 * IFERROR(VLOOKUP("buildings|SO2|Asthma symptoms wheeze", US_national_yearly!$D:$AM, 32, FALSE) / VLOOKUP("buildings|SO2|Asthma symptoms wheeze", US_national_yearly!$D:$AM, 10, FALSE), 1)</f>
        <v>1.435454652130524E-2</v>
      </c>
      <c r="Y8" s="7">
        <f>$B8 * IFERROR(VLOOKUP("buildings|SO2|Asthma symptoms wheeze", US_national_yearly!$D:$AM, 33, FALSE) / VLOOKUP("buildings|SO2|Asthma symptoms wheeze", US_national_yearly!$D:$AM, 10, FALSE), 1)</f>
        <v>1.435454652130524E-2</v>
      </c>
      <c r="Z8" s="7">
        <f>$B8 * IFERROR(VLOOKUP("buildings|SO2|Asthma symptoms wheeze", US_national_yearly!$D:$AM, 34, FALSE) / VLOOKUP("buildings|SO2|Asthma symptoms wheeze", US_national_yearly!$D:$AM, 10, FALSE), 1)</f>
        <v>1.435454652130524E-2</v>
      </c>
      <c r="AA8" s="7">
        <f>$B8 * IFERROR(VLOOKUP("buildings|SO2|Asthma symptoms wheeze", US_national_yearly!$D:$AM, 35, FALSE) / VLOOKUP("buildings|SO2|Asthma symptoms wheeze", US_national_yearly!$D:$AM, 10, FALSE), 1)</f>
        <v>1.435454652130524E-2</v>
      </c>
      <c r="AB8" s="7">
        <f>$B8 * IFERROR(VLOOKUP("buildings|SO2|Asthma symptoms wheeze", US_national_yearly!$D:$AM, 36, FALSE) / VLOOKUP("buildings|SO2|Asthma symptoms wheeze", US_national_yearly!$D:$AM, 10, FALSE), 1)</f>
        <v>1.435454652130524E-2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1.4997085327501326E-4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1.5085663857633812E-4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1.5174242387766296E-4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1.5262820917898783E-4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1.5351399448031264E-4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1.5447938886220997E-4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1.5544478324410729E-4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1.5639483781840254E-4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1.5734489239269781E-4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1.5829494696699303E-4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1.5924500154128828E-4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1.6019505611558355E-4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1.6088875322756621E-4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1.6158245033954887E-4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1.6227614745153155E-4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1.6296984456351421E-4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1.6366354167549686E-4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1.6432499001458811E-4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1.6498643835367941E-4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1.6564788669277066E-4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1.6630933503186191E-4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1.6697078337095318E-4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1.6759933187405091E-4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1.6822788037714869E-4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1.6885642888024642E-4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1.6948497738334415E-4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1.701135258864419E-4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9.9342587105531429E-4</v>
      </c>
      <c r="C13" s="7">
        <f>$B13 * IFERROR(VLOOKUP("buildings|SO2|Non-fatal heart attacks", US_national_yearly!$D:$AM, 11, FALSE) / VLOOKUP("buildings|SO2|Non-fatal heart attacks", US_national_yearly!$D:$AM, 10, FALSE), 1)</f>
        <v>1.0225986750416168E-3</v>
      </c>
      <c r="D13" s="7">
        <f>$B13 * IFERROR(VLOOKUP("buildings|SO2|Non-fatal heart attacks", US_national_yearly!$D:$AM, 12, FALSE) / VLOOKUP("buildings|SO2|Non-fatal heart attacks", US_national_yearly!$D:$AM, 10, FALSE), 1)</f>
        <v>1.0517714790279191E-3</v>
      </c>
      <c r="E13" s="7">
        <f>$B13 * IFERROR(VLOOKUP("buildings|SO2|Non-fatal heart attacks", US_national_yearly!$D:$AM, 13, FALSE) / VLOOKUP("buildings|SO2|Non-fatal heart attacks", US_national_yearly!$D:$AM, 10, FALSE), 1)</f>
        <v>1.0809442830142213E-3</v>
      </c>
      <c r="F13" s="7">
        <f>$B13 * IFERROR(VLOOKUP("buildings|SO2|Non-fatal heart attacks", US_national_yearly!$D:$AM, 14, FALSE) / VLOOKUP("buildings|SO2|Non-fatal heart attacks", US_national_yearly!$D:$AM, 10, FALSE), 1)</f>
        <v>1.1101170870005236E-3</v>
      </c>
      <c r="G13" s="7">
        <f>$B13 * IFERROR(VLOOKUP("buildings|SO2|Non-fatal heart attacks", US_national_yearly!$D:$AM, 15, FALSE) / VLOOKUP("buildings|SO2|Non-fatal heart attacks", US_national_yearly!$D:$AM, 10, FALSE), 1)</f>
        <v>1.1376317461579558E-3</v>
      </c>
      <c r="H13" s="7">
        <f>$B13 * IFERROR(VLOOKUP("buildings|SO2|Non-fatal heart attacks", US_national_yearly!$D:$AM, 16, FALSE) / VLOOKUP("buildings|SO2|Non-fatal heart attacks", US_national_yearly!$D:$AM, 10, FALSE), 1)</f>
        <v>1.165146405315388E-3</v>
      </c>
      <c r="I13" s="7">
        <f>$B13 * IFERROR(VLOOKUP("buildings|SO2|Non-fatal heart attacks", US_national_yearly!$D:$AM, 17, FALSE) / VLOOKUP("buildings|SO2|Non-fatal heart attacks", US_national_yearly!$D:$AM, 10, FALSE), 1)</f>
        <v>1.1872938821617914E-3</v>
      </c>
      <c r="J13" s="7">
        <f>$B13 * IFERROR(VLOOKUP("buildings|SO2|Non-fatal heart attacks", US_national_yearly!$D:$AM, 18, FALSE) / VLOOKUP("buildings|SO2|Non-fatal heart attacks", US_national_yearly!$D:$AM, 10, FALSE), 1)</f>
        <v>1.2094413590081948E-3</v>
      </c>
      <c r="K13" s="7">
        <f>$B13 * IFERROR(VLOOKUP("buildings|SO2|Non-fatal heart attacks", US_national_yearly!$D:$AM, 19, FALSE) / VLOOKUP("buildings|SO2|Non-fatal heart attacks", US_national_yearly!$D:$AM, 10, FALSE), 1)</f>
        <v>1.2315888358545985E-3</v>
      </c>
      <c r="L13" s="7">
        <f>$B13 * IFERROR(VLOOKUP("buildings|SO2|Non-fatal heart attacks", US_national_yearly!$D:$AM, 20, FALSE) / VLOOKUP("buildings|SO2|Non-fatal heart attacks", US_national_yearly!$D:$AM, 10, FALSE), 1)</f>
        <v>1.2537363127010023E-3</v>
      </c>
      <c r="M13" s="7">
        <f>$B13 * IFERROR(VLOOKUP("buildings|SO2|Non-fatal heart attacks", US_national_yearly!$D:$AM, 21, FALSE) / VLOOKUP("buildings|SO2|Non-fatal heart attacks", US_national_yearly!$D:$AM, 10, FALSE), 1)</f>
        <v>1.2758837895474058E-3</v>
      </c>
      <c r="N13" s="7">
        <f>$B13 * IFERROR(VLOOKUP("buildings|SO2|Non-fatal heart attacks", US_national_yearly!$D:$AM, 22, FALSE) / VLOOKUP("buildings|SO2|Non-fatal heart attacks", US_national_yearly!$D:$AM, 10, FALSE), 1)</f>
        <v>1.2902585315646925E-3</v>
      </c>
      <c r="O13" s="7">
        <f>$B13 * IFERROR(VLOOKUP("buildings|SO2|Non-fatal heart attacks", US_national_yearly!$D:$AM, 23, FALSE) / VLOOKUP("buildings|SO2|Non-fatal heart attacks", US_national_yearly!$D:$AM, 10, FALSE), 1)</f>
        <v>1.3046332735819793E-3</v>
      </c>
      <c r="P13" s="7">
        <f>$B13 * IFERROR(VLOOKUP("buildings|SO2|Non-fatal heart attacks", US_national_yearly!$D:$AM, 24, FALSE) / VLOOKUP("buildings|SO2|Non-fatal heart attacks", US_national_yearly!$D:$AM, 10, FALSE), 1)</f>
        <v>1.319008015599266E-3</v>
      </c>
      <c r="Q13" s="7">
        <f>$B13 * IFERROR(VLOOKUP("buildings|SO2|Non-fatal heart attacks", US_national_yearly!$D:$AM, 25, FALSE) / VLOOKUP("buildings|SO2|Non-fatal heart attacks", US_national_yearly!$D:$AM, 10, FALSE), 1)</f>
        <v>1.3333827576165525E-3</v>
      </c>
      <c r="R13" s="7">
        <f>$B13 * IFERROR(VLOOKUP("buildings|SO2|Non-fatal heart attacks", US_national_yearly!$D:$AM, 26, FALSE) / VLOOKUP("buildings|SO2|Non-fatal heart attacks", US_national_yearly!$D:$AM, 10, FALSE), 1)</f>
        <v>1.3477574996338393E-3</v>
      </c>
      <c r="S13" s="7">
        <f>$B13 * IFERROR(VLOOKUP("buildings|SO2|Non-fatal heart attacks", US_national_yearly!$D:$AM, 27, FALSE) / VLOOKUP("buildings|SO2|Non-fatal heart attacks", US_national_yearly!$D:$AM, 10, FALSE), 1)</f>
        <v>1.3552639663783974E-3</v>
      </c>
      <c r="T13" s="7">
        <f>$B13 * IFERROR(VLOOKUP("buildings|SO2|Non-fatal heart attacks", US_national_yearly!$D:$AM, 28, FALSE) / VLOOKUP("buildings|SO2|Non-fatal heart attacks", US_national_yearly!$D:$AM, 10, FALSE), 1)</f>
        <v>1.3627704331229554E-3</v>
      </c>
      <c r="U13" s="7">
        <f>$B13 * IFERROR(VLOOKUP("buildings|SO2|Non-fatal heart attacks", US_national_yearly!$D:$AM, 29, FALSE) / VLOOKUP("buildings|SO2|Non-fatal heart attacks", US_national_yearly!$D:$AM, 10, FALSE), 1)</f>
        <v>1.3702768998675129E-3</v>
      </c>
      <c r="V13" s="7">
        <f>$B13 * IFERROR(VLOOKUP("buildings|SO2|Non-fatal heart attacks", US_national_yearly!$D:$AM, 30, FALSE) / VLOOKUP("buildings|SO2|Non-fatal heart attacks", US_national_yearly!$D:$AM, 10, FALSE), 1)</f>
        <v>1.3777833666120708E-3</v>
      </c>
      <c r="W13" s="7">
        <f>$B13 * IFERROR(VLOOKUP("buildings|SO2|Non-fatal heart attacks", US_national_yearly!$D:$AM, 31, FALSE) / VLOOKUP("buildings|SO2|Non-fatal heart attacks", US_national_yearly!$D:$AM, 10, FALSE), 1)</f>
        <v>1.3852898333566288E-3</v>
      </c>
      <c r="X13" s="7">
        <f>$B13 * IFERROR(VLOOKUP("buildings|SO2|Non-fatal heart attacks", US_national_yearly!$D:$AM, 32, FALSE) / VLOOKUP("buildings|SO2|Non-fatal heart attacks", US_national_yearly!$D:$AM, 10, FALSE), 1)</f>
        <v>1.3909592682758312E-3</v>
      </c>
      <c r="Y13" s="7">
        <f>$B13 * IFERROR(VLOOKUP("buildings|SO2|Non-fatal heart attacks", US_national_yearly!$D:$AM, 33, FALSE) / VLOOKUP("buildings|SO2|Non-fatal heart attacks", US_national_yearly!$D:$AM, 10, FALSE), 1)</f>
        <v>1.3966287031950339E-3</v>
      </c>
      <c r="Z13" s="7">
        <f>$B13 * IFERROR(VLOOKUP("buildings|SO2|Non-fatal heart attacks", US_national_yearly!$D:$AM, 34, FALSE) / VLOOKUP("buildings|SO2|Non-fatal heart attacks", US_national_yearly!$D:$AM, 10, FALSE), 1)</f>
        <v>1.4022981381142361E-3</v>
      </c>
      <c r="AA13" s="7">
        <f>$B13 * IFERROR(VLOOKUP("buildings|SO2|Non-fatal heart attacks", US_national_yearly!$D:$AM, 35, FALSE) / VLOOKUP("buildings|SO2|Non-fatal heart attacks", US_national_yearly!$D:$AM, 10, FALSE), 1)</f>
        <v>1.4079675730334388E-3</v>
      </c>
      <c r="AB13" s="7">
        <f>$B13 * IFERROR(VLOOKUP("buildings|SO2|Non-fatal heart attacks", US_national_yearly!$D:$AM, 36, FALSE) / VLOOKUP("buildings|SO2|Non-fatal heart attacks", US_national_yearly!$D:$AM, 10, FALSE), 1)</f>
        <v>1.4136370079526411E-3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0.85943190069236919</v>
      </c>
      <c r="C14" s="7">
        <f>$B14 * IFERROR(VLOOKUP("buildings|SO2|Minor restricted activity days", US_national_yearly!$D:$AM, 11, FALSE) / VLOOKUP("buildings|SO2|Minor restricted activity days", US_national_yearly!$D:$AM, 10, FALSE), 1)</f>
        <v>0.86160750727557511</v>
      </c>
      <c r="D14" s="7">
        <f>$B14 * IFERROR(VLOOKUP("buildings|SO2|Minor restricted activity days", US_national_yearly!$D:$AM, 12, FALSE) / VLOOKUP("buildings|SO2|Minor restricted activity days", US_national_yearly!$D:$AM, 10, FALSE), 1)</f>
        <v>0.86378311385878115</v>
      </c>
      <c r="E14" s="7">
        <f>$B14 * IFERROR(VLOOKUP("buildings|SO2|Minor restricted activity days", US_national_yearly!$D:$AM, 13, FALSE) / VLOOKUP("buildings|SO2|Minor restricted activity days", US_national_yearly!$D:$AM, 10, FALSE), 1)</f>
        <v>0.8659587204419873</v>
      </c>
      <c r="F14" s="7">
        <f>$B14 * IFERROR(VLOOKUP("buildings|SO2|Minor restricted activity days", US_national_yearly!$D:$AM, 14, FALSE) / VLOOKUP("buildings|SO2|Minor restricted activity days", US_national_yearly!$D:$AM, 10, FALSE), 1)</f>
        <v>0.86813432702519322</v>
      </c>
      <c r="G14" s="7">
        <f>$B14 * IFERROR(VLOOKUP("buildings|SO2|Minor restricted activity days", US_national_yearly!$D:$AM, 15, FALSE) / VLOOKUP("buildings|SO2|Minor restricted activity days", US_national_yearly!$D:$AM, 10, FALSE), 1)</f>
        <v>0.87133333072974417</v>
      </c>
      <c r="H14" s="7">
        <f>$B14 * IFERROR(VLOOKUP("buildings|SO2|Minor restricted activity days", US_national_yearly!$D:$AM, 16, FALSE) / VLOOKUP("buildings|SO2|Minor restricted activity days", US_national_yearly!$D:$AM, 10, FALSE), 1)</f>
        <v>0.87453233443429512</v>
      </c>
      <c r="I14" s="7">
        <f>$B14 * IFERROR(VLOOKUP("buildings|SO2|Minor restricted activity days", US_national_yearly!$D:$AM, 17, FALSE) / VLOOKUP("buildings|SO2|Minor restricted activity days", US_national_yearly!$D:$AM, 10, FALSE), 1)</f>
        <v>0.87998055967671396</v>
      </c>
      <c r="J14" s="7">
        <f>$B14 * IFERROR(VLOOKUP("buildings|SO2|Minor restricted activity days", US_national_yearly!$D:$AM, 18, FALSE) / VLOOKUP("buildings|SO2|Minor restricted activity days", US_national_yearly!$D:$AM, 10, FALSE), 1)</f>
        <v>0.88542878491913302</v>
      </c>
      <c r="K14" s="7">
        <f>$B14 * IFERROR(VLOOKUP("buildings|SO2|Minor restricted activity days", US_national_yearly!$D:$AM, 19, FALSE) / VLOOKUP("buildings|SO2|Minor restricted activity days", US_national_yearly!$D:$AM, 10, FALSE), 1)</f>
        <v>0.89087701016155185</v>
      </c>
      <c r="L14" s="7">
        <f>$B14 * IFERROR(VLOOKUP("buildings|SO2|Minor restricted activity days", US_national_yearly!$D:$AM, 20, FALSE) / VLOOKUP("buildings|SO2|Minor restricted activity days", US_national_yearly!$D:$AM, 10, FALSE), 1)</f>
        <v>0.89632523540397069</v>
      </c>
      <c r="M14" s="7">
        <f>$B14 * IFERROR(VLOOKUP("buildings|SO2|Minor restricted activity days", US_national_yearly!$D:$AM, 21, FALSE) / VLOOKUP("buildings|SO2|Minor restricted activity days", US_national_yearly!$D:$AM, 10, FALSE), 1)</f>
        <v>0.90177346064638952</v>
      </c>
      <c r="N14" s="7">
        <f>$B14 * IFERROR(VLOOKUP("buildings|SO2|Minor restricted activity days", US_national_yearly!$D:$AM, 22, FALSE) / VLOOKUP("buildings|SO2|Minor restricted activity days", US_national_yearly!$D:$AM, 10, FALSE), 1)</f>
        <v>0.90922362236558518</v>
      </c>
      <c r="O14" s="7">
        <f>$B14 * IFERROR(VLOOKUP("buildings|SO2|Minor restricted activity days", US_national_yearly!$D:$AM, 23, FALSE) / VLOOKUP("buildings|SO2|Minor restricted activity days", US_national_yearly!$D:$AM, 10, FALSE), 1)</f>
        <v>0.91667378408478073</v>
      </c>
      <c r="P14" s="7">
        <f>$B14 * IFERROR(VLOOKUP("buildings|SO2|Minor restricted activity days", US_national_yearly!$D:$AM, 24, FALSE) / VLOOKUP("buildings|SO2|Minor restricted activity days", US_national_yearly!$D:$AM, 10, FALSE), 1)</f>
        <v>0.92412394580397617</v>
      </c>
      <c r="Q14" s="7">
        <f>$B14 * IFERROR(VLOOKUP("buildings|SO2|Minor restricted activity days", US_national_yearly!$D:$AM, 25, FALSE) / VLOOKUP("buildings|SO2|Minor restricted activity days", US_national_yearly!$D:$AM, 10, FALSE), 1)</f>
        <v>0.93157410752317182</v>
      </c>
      <c r="R14" s="7">
        <f>$B14 * IFERROR(VLOOKUP("buildings|SO2|Minor restricted activity days", US_national_yearly!$D:$AM, 26, FALSE) / VLOOKUP("buildings|SO2|Minor restricted activity days", US_national_yearly!$D:$AM, 10, FALSE), 1)</f>
        <v>0.93902426924236737</v>
      </c>
      <c r="S14" s="7">
        <f>$B14 * IFERROR(VLOOKUP("buildings|SO2|Minor restricted activity days", US_national_yearly!$D:$AM, 27, FALSE) / VLOOKUP("buildings|SO2|Minor restricted activity days", US_national_yearly!$D:$AM, 10, FALSE), 1)</f>
        <v>0.94661922543766408</v>
      </c>
      <c r="T14" s="7">
        <f>$B14 * IFERROR(VLOOKUP("buildings|SO2|Minor restricted activity days", US_national_yearly!$D:$AM, 28, FALSE) / VLOOKUP("buildings|SO2|Minor restricted activity days", US_national_yearly!$D:$AM, 10, FALSE), 1)</f>
        <v>0.95421418163296079</v>
      </c>
      <c r="U14" s="7">
        <f>$B14 * IFERROR(VLOOKUP("buildings|SO2|Minor restricted activity days", US_national_yearly!$D:$AM, 29, FALSE) / VLOOKUP("buildings|SO2|Minor restricted activity days", US_national_yearly!$D:$AM, 10, FALSE), 1)</f>
        <v>0.9618091378282575</v>
      </c>
      <c r="V14" s="7">
        <f>$B14 * IFERROR(VLOOKUP("buildings|SO2|Minor restricted activity days", US_national_yearly!$D:$AM, 30, FALSE) / VLOOKUP("buildings|SO2|Minor restricted activity days", US_national_yearly!$D:$AM, 10, FALSE), 1)</f>
        <v>0.96940409402355421</v>
      </c>
      <c r="W14" s="7">
        <f>$B14 * IFERROR(VLOOKUP("buildings|SO2|Minor restricted activity days", US_national_yearly!$D:$AM, 31, FALSE) / VLOOKUP("buildings|SO2|Minor restricted activity days", US_national_yearly!$D:$AM, 10, FALSE), 1)</f>
        <v>0.97699905021885114</v>
      </c>
      <c r="X14" s="7">
        <f>$B14 * IFERROR(VLOOKUP("buildings|SO2|Minor restricted activity days", US_national_yearly!$D:$AM, 32, FALSE) / VLOOKUP("buildings|SO2|Minor restricted activity days", US_national_yearly!$D:$AM, 10, FALSE), 1)</f>
        <v>0.98367837466510011</v>
      </c>
      <c r="Y14" s="7">
        <f>$B14 * IFERROR(VLOOKUP("buildings|SO2|Minor restricted activity days", US_national_yearly!$D:$AM, 33, FALSE) / VLOOKUP("buildings|SO2|Minor restricted activity days", US_national_yearly!$D:$AM, 10, FALSE), 1)</f>
        <v>0.9903576991113493</v>
      </c>
      <c r="Z14" s="7">
        <f>$B14 * IFERROR(VLOOKUP("buildings|SO2|Minor restricted activity days", US_national_yearly!$D:$AM, 34, FALSE) / VLOOKUP("buildings|SO2|Minor restricted activity days", US_national_yearly!$D:$AM, 10, FALSE), 1)</f>
        <v>0.99703702355759827</v>
      </c>
      <c r="AA14" s="7">
        <f>$B14 * IFERROR(VLOOKUP("buildings|SO2|Minor restricted activity days", US_national_yearly!$D:$AM, 35, FALSE) / VLOOKUP("buildings|SO2|Minor restricted activity days", US_national_yearly!$D:$AM, 10, FALSE), 1)</f>
        <v>1.0037163480038473</v>
      </c>
      <c r="AB14" s="7">
        <f>$B14 * IFERROR(VLOOKUP("buildings|SO2|Minor restricted activity days", US_national_yearly!$D:$AM, 36, FALSE) / VLOOKUP("buildings|SO2|Minor restricted activity days", US_national_yearly!$D:$AM, 10, FALSE), 1)</f>
        <v>1.0103956724500964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0.14597780617458564</v>
      </c>
      <c r="C15" s="7">
        <f>$B15 * IFERROR(VLOOKUP("buildings|SO2|Work loss days", US_national_yearly!$D:$AM, 11, FALSE) / VLOOKUP("buildings|SO2|Work loss days", US_national_yearly!$D:$AM, 10, FALSE), 1)</f>
        <v>0.1464520856895509</v>
      </c>
      <c r="D15" s="7">
        <f>$B15 * IFERROR(VLOOKUP("buildings|SO2|Work loss days", US_national_yearly!$D:$AM, 12, FALSE) / VLOOKUP("buildings|SO2|Work loss days", US_national_yearly!$D:$AM, 10, FALSE), 1)</f>
        <v>0.14692636520451618</v>
      </c>
      <c r="E15" s="7">
        <f>$B15 * IFERROR(VLOOKUP("buildings|SO2|Work loss days", US_national_yearly!$D:$AM, 13, FALSE) / VLOOKUP("buildings|SO2|Work loss days", US_national_yearly!$D:$AM, 10, FALSE), 1)</f>
        <v>0.14740064471948144</v>
      </c>
      <c r="F15" s="7">
        <f>$B15 * IFERROR(VLOOKUP("buildings|SO2|Work loss days", US_national_yearly!$D:$AM, 14, FALSE) / VLOOKUP("buildings|SO2|Work loss days", US_national_yearly!$D:$AM, 10, FALSE), 1)</f>
        <v>0.1478749242344467</v>
      </c>
      <c r="G15" s="7">
        <f>$B15 * IFERROR(VLOOKUP("buildings|SO2|Work loss days", US_national_yearly!$D:$AM, 15, FALSE) / VLOOKUP("buildings|SO2|Work loss days", US_national_yearly!$D:$AM, 10, FALSE), 1)</f>
        <v>0.14849435952696566</v>
      </c>
      <c r="H15" s="7">
        <f>$B15 * IFERROR(VLOOKUP("buildings|SO2|Work loss days", US_national_yearly!$D:$AM, 16, FALSE) / VLOOKUP("buildings|SO2|Work loss days", US_national_yearly!$D:$AM, 10, FALSE), 1)</f>
        <v>0.14911379481948467</v>
      </c>
      <c r="I15" s="7">
        <f>$B15 * IFERROR(VLOOKUP("buildings|SO2|Work loss days", US_national_yearly!$D:$AM, 17, FALSE) / VLOOKUP("buildings|SO2|Work loss days", US_national_yearly!$D:$AM, 10, FALSE), 1)</f>
        <v>0.15001944388828256</v>
      </c>
      <c r="J15" s="7">
        <f>$B15 * IFERROR(VLOOKUP("buildings|SO2|Work loss days", US_national_yearly!$D:$AM, 18, FALSE) / VLOOKUP("buildings|SO2|Work loss days", US_national_yearly!$D:$AM, 10, FALSE), 1)</f>
        <v>0.15092509295708045</v>
      </c>
      <c r="K15" s="7">
        <f>$B15 * IFERROR(VLOOKUP("buildings|SO2|Work loss days", US_national_yearly!$D:$AM, 19, FALSE) / VLOOKUP("buildings|SO2|Work loss days", US_national_yearly!$D:$AM, 10, FALSE), 1)</f>
        <v>0.15183074202587837</v>
      </c>
      <c r="L15" s="7">
        <f>$B15 * IFERROR(VLOOKUP("buildings|SO2|Work loss days", US_national_yearly!$D:$AM, 20, FALSE) / VLOOKUP("buildings|SO2|Work loss days", US_national_yearly!$D:$AM, 10, FALSE), 1)</f>
        <v>0.15273639109467624</v>
      </c>
      <c r="M15" s="7">
        <f>$B15 * IFERROR(VLOOKUP("buildings|SO2|Work loss days", US_national_yearly!$D:$AM, 21, FALSE) / VLOOKUP("buildings|SO2|Work loss days", US_national_yearly!$D:$AM, 10, FALSE), 1)</f>
        <v>0.15364204016347413</v>
      </c>
      <c r="N15" s="7">
        <f>$B15 * IFERROR(VLOOKUP("buildings|SO2|Work loss days", US_national_yearly!$D:$AM, 22, FALSE) / VLOOKUP("buildings|SO2|Work loss days", US_national_yearly!$D:$AM, 10, FALSE), 1)</f>
        <v>0.15477770926005102</v>
      </c>
      <c r="O15" s="7">
        <f>$B15 * IFERROR(VLOOKUP("buildings|SO2|Work loss days", US_national_yearly!$D:$AM, 23, FALSE) / VLOOKUP("buildings|SO2|Work loss days", US_national_yearly!$D:$AM, 10, FALSE), 1)</f>
        <v>0.15591337835662789</v>
      </c>
      <c r="P15" s="7">
        <f>$B15 * IFERROR(VLOOKUP("buildings|SO2|Work loss days", US_national_yearly!$D:$AM, 24, FALSE) / VLOOKUP("buildings|SO2|Work loss days", US_national_yearly!$D:$AM, 10, FALSE), 1)</f>
        <v>0.15704904745320475</v>
      </c>
      <c r="Q15" s="7">
        <f>$B15 * IFERROR(VLOOKUP("buildings|SO2|Work loss days", US_national_yearly!$D:$AM, 25, FALSE) / VLOOKUP("buildings|SO2|Work loss days", US_national_yearly!$D:$AM, 10, FALSE), 1)</f>
        <v>0.15818471654978164</v>
      </c>
      <c r="R15" s="7">
        <f>$B15 * IFERROR(VLOOKUP("buildings|SO2|Work loss days", US_national_yearly!$D:$AM, 26, FALSE) / VLOOKUP("buildings|SO2|Work loss days", US_national_yearly!$D:$AM, 10, FALSE), 1)</f>
        <v>0.15932038564635848</v>
      </c>
      <c r="S15" s="7">
        <f>$B15 * IFERROR(VLOOKUP("buildings|SO2|Work loss days", US_national_yearly!$D:$AM, 27, FALSE) / VLOOKUP("buildings|SO2|Work loss days", US_national_yearly!$D:$AM, 10, FALSE), 1)</f>
        <v>0.16058902750563006</v>
      </c>
      <c r="T15" s="7">
        <f>$B15 * IFERROR(VLOOKUP("buildings|SO2|Work loss days", US_national_yearly!$D:$AM, 28, FALSE) / VLOOKUP("buildings|SO2|Work loss days", US_national_yearly!$D:$AM, 10, FALSE), 1)</f>
        <v>0.16185766936490165</v>
      </c>
      <c r="U15" s="7">
        <f>$B15 * IFERROR(VLOOKUP("buildings|SO2|Work loss days", US_national_yearly!$D:$AM, 29, FALSE) / VLOOKUP("buildings|SO2|Work loss days", US_national_yearly!$D:$AM, 10, FALSE), 1)</f>
        <v>0.16312631122417323</v>
      </c>
      <c r="V15" s="7">
        <f>$B15 * IFERROR(VLOOKUP("buildings|SO2|Work loss days", US_national_yearly!$D:$AM, 30, FALSE) / VLOOKUP("buildings|SO2|Work loss days", US_national_yearly!$D:$AM, 10, FALSE), 1)</f>
        <v>0.16439495308344479</v>
      </c>
      <c r="W15" s="7">
        <f>$B15 * IFERROR(VLOOKUP("buildings|SO2|Work loss days", US_national_yearly!$D:$AM, 31, FALSE) / VLOOKUP("buildings|SO2|Work loss days", US_national_yearly!$D:$AM, 10, FALSE), 1)</f>
        <v>0.16566359494271637</v>
      </c>
      <c r="X15" s="7">
        <f>$B15 * IFERROR(VLOOKUP("buildings|SO2|Work loss days", US_national_yearly!$D:$AM, 32, FALSE) / VLOOKUP("buildings|SO2|Work loss days", US_national_yearly!$D:$AM, 10, FALSE), 1)</f>
        <v>0.16680268579251561</v>
      </c>
      <c r="Y15" s="7">
        <f>$B15 * IFERROR(VLOOKUP("buildings|SO2|Work loss days", US_national_yearly!$D:$AM, 33, FALSE) / VLOOKUP("buildings|SO2|Work loss days", US_national_yearly!$D:$AM, 10, FALSE), 1)</f>
        <v>0.16794177664231486</v>
      </c>
      <c r="Z15" s="7">
        <f>$B15 * IFERROR(VLOOKUP("buildings|SO2|Work loss days", US_national_yearly!$D:$AM, 34, FALSE) / VLOOKUP("buildings|SO2|Work loss days", US_national_yearly!$D:$AM, 10, FALSE), 1)</f>
        <v>0.16908086749211407</v>
      </c>
      <c r="AA15" s="7">
        <f>$B15 * IFERROR(VLOOKUP("buildings|SO2|Work loss days", US_national_yearly!$D:$AM, 35, FALSE) / VLOOKUP("buildings|SO2|Work loss days", US_national_yearly!$D:$AM, 10, FALSE), 1)</f>
        <v>0.17021995834191331</v>
      </c>
      <c r="AB15" s="7">
        <f>$B15 * IFERROR(VLOOKUP("buildings|SO2|Work loss days", US_national_yearly!$D:$AM, 36, FALSE) / VLOOKUP("buildings|SO2|Work loss days", US_national_yearly!$D:$AM, 10, FALSE), 1)</f>
        <v>0.17135904919171252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1.9357509463436138E-4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1.9943061706775153E-4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2.0528613950114165E-4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2.1114166193453182E-4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2.1699718436792197E-4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2.2260642412088777E-4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2.2821566387385355E-4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2.3302277104247777E-4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2.3782987821110191E-4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2.4263698537972612E-4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2.4744409254835032E-4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2.5225119971697445E-4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2.5547907584093143E-4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2.5870695196488836E-4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2.6193482808884534E-4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2.6516270421280227E-4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2.6839058033675925E-4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2.700880522023679E-4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2.7178552406797654E-4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2.7348299593358514E-4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2.7518046779919373E-4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2.7687793966480232E-4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2.7801779583854798E-4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2.7915765201229353E-4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2.8029750818603914E-4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2.8143736435978474E-4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2.825772205335303E-4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1.9557172350918403E-2</v>
      </c>
      <c r="C2" s="7">
        <f>$B2 * IFERROR(VLOOKUP("industry|PM25|Premature mortality", US_national_yearly!$D:$AM, 11, FALSE) / VLOOKUP("industry|PM25|Premature mortality", US_national_yearly!$D:$AM, 10, FALSE), 1)</f>
        <v>1.9800723057462451E-2</v>
      </c>
      <c r="D2" s="7">
        <f>$B2 * IFERROR(VLOOKUP("industry|PM25|Premature mortality", US_national_yearly!$D:$AM, 12, FALSE) / VLOOKUP("industry|PM25|Premature mortality", US_national_yearly!$D:$AM, 10, FALSE), 1)</f>
        <v>2.0044273764006495E-2</v>
      </c>
      <c r="E2" s="7">
        <f>$B2 * IFERROR(VLOOKUP("industry|PM25|Premature mortality", US_national_yearly!$D:$AM, 13, FALSE) / VLOOKUP("industry|PM25|Premature mortality", US_national_yearly!$D:$AM, 10, FALSE), 1)</f>
        <v>2.0287824470550542E-2</v>
      </c>
      <c r="F2" s="7">
        <f>$B2 * IFERROR(VLOOKUP("industry|PM25|Premature mortality", US_national_yearly!$D:$AM, 14, FALSE) / VLOOKUP("industry|PM25|Premature mortality", US_national_yearly!$D:$AM, 10, FALSE), 1)</f>
        <v>2.0531375177094587E-2</v>
      </c>
      <c r="G2" s="7">
        <f>$B2 * IFERROR(VLOOKUP("industry|PM25|Premature mortality", US_national_yearly!$D:$AM, 15, FALSE) / VLOOKUP("industry|PM25|Premature mortality", US_national_yearly!$D:$AM, 10, FALSE), 1)</f>
        <v>2.1005199293737582E-2</v>
      </c>
      <c r="H2" s="7">
        <f>$B2 * IFERROR(VLOOKUP("industry|PM25|Premature mortality", US_national_yearly!$D:$AM, 16, FALSE) / VLOOKUP("industry|PM25|Premature mortality", US_national_yearly!$D:$AM, 10, FALSE), 1)</f>
        <v>2.147902341038058E-2</v>
      </c>
      <c r="I2" s="7">
        <f>$B2 * IFERROR(VLOOKUP("industry|PM25|Premature mortality", US_national_yearly!$D:$AM, 17, FALSE) / VLOOKUP("industry|PM25|Premature mortality", US_national_yearly!$D:$AM, 10, FALSE), 1)</f>
        <v>2.1791887899455117E-2</v>
      </c>
      <c r="J2" s="7">
        <f>$B2 * IFERROR(VLOOKUP("industry|PM25|Premature mortality", US_national_yearly!$D:$AM, 18, FALSE) / VLOOKUP("industry|PM25|Premature mortality", US_national_yearly!$D:$AM, 10, FALSE), 1)</f>
        <v>2.2104752388529651E-2</v>
      </c>
      <c r="K2" s="7">
        <f>$B2 * IFERROR(VLOOKUP("industry|PM25|Premature mortality", US_national_yearly!$D:$AM, 19, FALSE) / VLOOKUP("industry|PM25|Premature mortality", US_national_yearly!$D:$AM, 10, FALSE), 1)</f>
        <v>2.2417616877604185E-2</v>
      </c>
      <c r="L2" s="7">
        <f>$B2 * IFERROR(VLOOKUP("industry|PM25|Premature mortality", US_national_yearly!$D:$AM, 20, FALSE) / VLOOKUP("industry|PM25|Premature mortality", US_national_yearly!$D:$AM, 10, FALSE), 1)</f>
        <v>2.2730481366678719E-2</v>
      </c>
      <c r="M2" s="7">
        <f>$B2 * IFERROR(VLOOKUP("industry|PM25|Premature mortality", US_national_yearly!$D:$AM, 21, FALSE) / VLOOKUP("industry|PM25|Premature mortality", US_national_yearly!$D:$AM, 10, FALSE), 1)</f>
        <v>2.3043345855753256E-2</v>
      </c>
      <c r="N2" s="7">
        <f>$B2 * IFERROR(VLOOKUP("industry|PM25|Premature mortality", US_national_yearly!$D:$AM, 22, FALSE) / VLOOKUP("industry|PM25|Premature mortality", US_national_yearly!$D:$AM, 10, FALSE), 1)</f>
        <v>2.3287094041675456E-2</v>
      </c>
      <c r="O2" s="7">
        <f>$B2 * IFERROR(VLOOKUP("industry|PM25|Premature mortality", US_national_yearly!$D:$AM, 23, FALSE) / VLOOKUP("industry|PM25|Premature mortality", US_national_yearly!$D:$AM, 10, FALSE), 1)</f>
        <v>2.3530842227597656E-2</v>
      </c>
      <c r="P2" s="7">
        <f>$B2 * IFERROR(VLOOKUP("industry|PM25|Premature mortality", US_national_yearly!$D:$AM, 24, FALSE) / VLOOKUP("industry|PM25|Premature mortality", US_national_yearly!$D:$AM, 10, FALSE), 1)</f>
        <v>2.3774590413519855E-2</v>
      </c>
      <c r="Q2" s="7">
        <f>$B2 * IFERROR(VLOOKUP("industry|PM25|Premature mortality", US_national_yearly!$D:$AM, 25, FALSE) / VLOOKUP("industry|PM25|Premature mortality", US_national_yearly!$D:$AM, 10, FALSE), 1)</f>
        <v>2.4018338599442059E-2</v>
      </c>
      <c r="R2" s="7">
        <f>$B2 * IFERROR(VLOOKUP("industry|PM25|Premature mortality", US_national_yearly!$D:$AM, 26, FALSE) / VLOOKUP("industry|PM25|Premature mortality", US_national_yearly!$D:$AM, 10, FALSE), 1)</f>
        <v>2.4262086785364255E-2</v>
      </c>
      <c r="S2" s="7">
        <f>$B2 * IFERROR(VLOOKUP("industry|PM25|Premature mortality", US_national_yearly!$D:$AM, 27, FALSE) / VLOOKUP("industry|PM25|Premature mortality", US_national_yearly!$D:$AM, 10, FALSE), 1)</f>
        <v>2.4393701765209452E-2</v>
      </c>
      <c r="T2" s="7">
        <f>$B2 * IFERROR(VLOOKUP("industry|PM25|Premature mortality", US_national_yearly!$D:$AM, 28, FALSE) / VLOOKUP("industry|PM25|Premature mortality", US_national_yearly!$D:$AM, 10, FALSE), 1)</f>
        <v>2.4525316745054648E-2</v>
      </c>
      <c r="U2" s="7">
        <f>$B2 * IFERROR(VLOOKUP("industry|PM25|Premature mortality", US_national_yearly!$D:$AM, 29, FALSE) / VLOOKUP("industry|PM25|Premature mortality", US_national_yearly!$D:$AM, 10, FALSE), 1)</f>
        <v>2.4656931724899852E-2</v>
      </c>
      <c r="V2" s="7">
        <f>$B2 * IFERROR(VLOOKUP("industry|PM25|Premature mortality", US_national_yearly!$D:$AM, 30, FALSE) / VLOOKUP("industry|PM25|Premature mortality", US_national_yearly!$D:$AM, 10, FALSE), 1)</f>
        <v>2.4788546704745049E-2</v>
      </c>
      <c r="W2" s="7">
        <f>$B2 * IFERROR(VLOOKUP("industry|PM25|Premature mortality", US_national_yearly!$D:$AM, 31, FALSE) / VLOOKUP("industry|PM25|Premature mortality", US_national_yearly!$D:$AM, 10, FALSE), 1)</f>
        <v>2.4920161684590245E-2</v>
      </c>
      <c r="X2" s="7">
        <f>$B2 * IFERROR(VLOOKUP("industry|PM25|Premature mortality", US_national_yearly!$D:$AM, 32, FALSE) / VLOOKUP("industry|PM25|Premature mortality", US_national_yearly!$D:$AM, 10, FALSE), 1)</f>
        <v>2.4947335564738635E-2</v>
      </c>
      <c r="Y2" s="7">
        <f>$B2 * IFERROR(VLOOKUP("industry|PM25|Premature mortality", US_national_yearly!$D:$AM, 33, FALSE) / VLOOKUP("industry|PM25|Premature mortality", US_national_yearly!$D:$AM, 10, FALSE), 1)</f>
        <v>2.4974509444887036E-2</v>
      </c>
      <c r="Z2" s="7">
        <f>$B2 * IFERROR(VLOOKUP("industry|PM25|Premature mortality", US_national_yearly!$D:$AM, 34, FALSE) / VLOOKUP("industry|PM25|Premature mortality", US_national_yearly!$D:$AM, 10, FALSE), 1)</f>
        <v>2.5001683325035426E-2</v>
      </c>
      <c r="AA2" s="7">
        <f>$B2 * IFERROR(VLOOKUP("industry|PM25|Premature mortality", US_national_yearly!$D:$AM, 35, FALSE) / VLOOKUP("industry|PM25|Premature mortality", US_national_yearly!$D:$AM, 10, FALSE), 1)</f>
        <v>2.5028857205183823E-2</v>
      </c>
      <c r="AB2" s="7">
        <f>$B2 * IFERROR(VLOOKUP("industry|PM25|Premature mortality", US_national_yearly!$D:$AM, 36, FALSE) / VLOOKUP("industry|PM25|Premature mortality", US_national_yearly!$D:$AM, 10, FALSE), 1)</f>
        <v>2.5056031085332216E-2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5.2568450961806786E-5</v>
      </c>
      <c r="C3" s="7">
        <f>$B3 * IFERROR(VLOOKUP("industry|PM25|Infant mortality", US_national_yearly!$D:$AM, 11, FALSE) / VLOOKUP("industry|PM25|Infant mortality", US_national_yearly!$D:$AM, 10, FALSE), 1)</f>
        <v>5.2110745405050497E-5</v>
      </c>
      <c r="D3" s="7">
        <f>$B3 * IFERROR(VLOOKUP("industry|PM25|Infant mortality", US_national_yearly!$D:$AM, 12, FALSE) / VLOOKUP("industry|PM25|Infant mortality", US_national_yearly!$D:$AM, 10, FALSE), 1)</f>
        <v>5.1653039848294201E-5</v>
      </c>
      <c r="E3" s="7">
        <f>$B3 * IFERROR(VLOOKUP("industry|PM25|Infant mortality", US_national_yearly!$D:$AM, 13, FALSE) / VLOOKUP("industry|PM25|Infant mortality", US_national_yearly!$D:$AM, 10, FALSE), 1)</f>
        <v>5.1195334291537892E-5</v>
      </c>
      <c r="F3" s="7">
        <f>$B3 * IFERROR(VLOOKUP("industry|PM25|Infant mortality", US_national_yearly!$D:$AM, 14, FALSE) / VLOOKUP("industry|PM25|Infant mortality", US_national_yearly!$D:$AM, 10, FALSE), 1)</f>
        <v>5.0737628734781604E-5</v>
      </c>
      <c r="G3" s="7">
        <f>$B3 * IFERROR(VLOOKUP("industry|PM25|Infant mortality", US_national_yearly!$D:$AM, 15, FALSE) / VLOOKUP("industry|PM25|Infant mortality", US_national_yearly!$D:$AM, 10, FALSE), 1)</f>
        <v>3.3711856499681247E-5</v>
      </c>
      <c r="H3" s="7">
        <f>$B3 * IFERROR(VLOOKUP("industry|PM25|Infant mortality", US_national_yearly!$D:$AM, 16, FALSE) / VLOOKUP("industry|PM25|Infant mortality", US_national_yearly!$D:$AM, 10, FALSE), 1)</f>
        <v>1.6686084264580891E-5</v>
      </c>
      <c r="I3" s="7">
        <f>$B3 * IFERROR(VLOOKUP("industry|PM25|Infant mortality", US_national_yearly!$D:$AM, 17, FALSE) / VLOOKUP("industry|PM25|Infant mortality", US_national_yearly!$D:$AM, 10, FALSE), 1)</f>
        <v>1.6575021916091988E-5</v>
      </c>
      <c r="J3" s="7">
        <f>$B3 * IFERROR(VLOOKUP("industry|PM25|Infant mortality", US_national_yearly!$D:$AM, 18, FALSE) / VLOOKUP("industry|PM25|Infant mortality", US_national_yearly!$D:$AM, 10, FALSE), 1)</f>
        <v>1.6463959567603085E-5</v>
      </c>
      <c r="K3" s="7">
        <f>$B3 * IFERROR(VLOOKUP("industry|PM25|Infant mortality", US_national_yearly!$D:$AM, 19, FALSE) / VLOOKUP("industry|PM25|Infant mortality", US_national_yearly!$D:$AM, 10, FALSE), 1)</f>
        <v>1.6352897219114182E-5</v>
      </c>
      <c r="L3" s="7">
        <f>$B3 * IFERROR(VLOOKUP("industry|PM25|Infant mortality", US_national_yearly!$D:$AM, 20, FALSE) / VLOOKUP("industry|PM25|Infant mortality", US_national_yearly!$D:$AM, 10, FALSE), 1)</f>
        <v>1.6241834870625279E-5</v>
      </c>
      <c r="M3" s="7">
        <f>$B3 * IFERROR(VLOOKUP("industry|PM25|Infant mortality", US_national_yearly!$D:$AM, 21, FALSE) / VLOOKUP("industry|PM25|Infant mortality", US_national_yearly!$D:$AM, 10, FALSE), 1)</f>
        <v>1.6130772522136379E-5</v>
      </c>
      <c r="N3" s="7">
        <f>$B3 * IFERROR(VLOOKUP("industry|PM25|Infant mortality", US_national_yearly!$D:$AM, 22, FALSE) / VLOOKUP("industry|PM25|Infant mortality", US_national_yearly!$D:$AM, 10, FALSE), 1)</f>
        <v>1.605990392864507E-5</v>
      </c>
      <c r="O3" s="7">
        <f>$B3 * IFERROR(VLOOKUP("industry|PM25|Infant mortality", US_national_yearly!$D:$AM, 23, FALSE) / VLOOKUP("industry|PM25|Infant mortality", US_national_yearly!$D:$AM, 10, FALSE), 1)</f>
        <v>1.5989035335153764E-5</v>
      </c>
      <c r="P3" s="7">
        <f>$B3 * IFERROR(VLOOKUP("industry|PM25|Infant mortality", US_national_yearly!$D:$AM, 24, FALSE) / VLOOKUP("industry|PM25|Infant mortality", US_national_yearly!$D:$AM, 10, FALSE), 1)</f>
        <v>1.5918166741662462E-5</v>
      </c>
      <c r="Q3" s="7">
        <f>$B3 * IFERROR(VLOOKUP("industry|PM25|Infant mortality", US_national_yearly!$D:$AM, 25, FALSE) / VLOOKUP("industry|PM25|Infant mortality", US_national_yearly!$D:$AM, 10, FALSE), 1)</f>
        <v>1.5847298148171156E-5</v>
      </c>
      <c r="R3" s="7">
        <f>$B3 * IFERROR(VLOOKUP("industry|PM25|Infant mortality", US_national_yearly!$D:$AM, 26, FALSE) / VLOOKUP("industry|PM25|Infant mortality", US_national_yearly!$D:$AM, 10, FALSE), 1)</f>
        <v>1.577642955467985E-5</v>
      </c>
      <c r="S3" s="7">
        <f>$B3 * IFERROR(VLOOKUP("industry|PM25|Infant mortality", US_national_yearly!$D:$AM, 27, FALSE) / VLOOKUP("industry|PM25|Infant mortality", US_national_yearly!$D:$AM, 10, FALSE), 1)</f>
        <v>1.5689267583437045E-5</v>
      </c>
      <c r="T3" s="7">
        <f>$B3 * IFERROR(VLOOKUP("industry|PM25|Infant mortality", US_national_yearly!$D:$AM, 28, FALSE) / VLOOKUP("industry|PM25|Infant mortality", US_national_yearly!$D:$AM, 10, FALSE), 1)</f>
        <v>1.560210561219424E-5</v>
      </c>
      <c r="U3" s="7">
        <f>$B3 * IFERROR(VLOOKUP("industry|PM25|Infant mortality", US_national_yearly!$D:$AM, 29, FALSE) / VLOOKUP("industry|PM25|Infant mortality", US_national_yearly!$D:$AM, 10, FALSE), 1)</f>
        <v>1.5514943640951434E-5</v>
      </c>
      <c r="V3" s="7">
        <f>$B3 * IFERROR(VLOOKUP("industry|PM25|Infant mortality", US_national_yearly!$D:$AM, 30, FALSE) / VLOOKUP("industry|PM25|Infant mortality", US_national_yearly!$D:$AM, 10, FALSE), 1)</f>
        <v>1.5427781669708632E-5</v>
      </c>
      <c r="W3" s="7">
        <f>$B3 * IFERROR(VLOOKUP("industry|PM25|Infant mortality", US_national_yearly!$D:$AM, 31, FALSE) / VLOOKUP("industry|PM25|Infant mortality", US_national_yearly!$D:$AM, 10, FALSE), 1)</f>
        <v>1.5340619698465827E-5</v>
      </c>
      <c r="X3" s="7">
        <f>$B3 * IFERROR(VLOOKUP("industry|PM25|Infant mortality", US_national_yearly!$D:$AM, 32, FALSE) / VLOOKUP("industry|PM25|Infant mortality", US_national_yearly!$D:$AM, 10, FALSE), 1)</f>
        <v>1.5247476210495335E-5</v>
      </c>
      <c r="Y3" s="7">
        <f>$B3 * IFERROR(VLOOKUP("industry|PM25|Infant mortality", US_national_yearly!$D:$AM, 33, FALSE) / VLOOKUP("industry|PM25|Infant mortality", US_national_yearly!$D:$AM, 10, FALSE), 1)</f>
        <v>1.5154332722524841E-5</v>
      </c>
      <c r="Z3" s="7">
        <f>$B3 * IFERROR(VLOOKUP("industry|PM25|Infant mortality", US_national_yearly!$D:$AM, 34, FALSE) / VLOOKUP("industry|PM25|Infant mortality", US_national_yearly!$D:$AM, 10, FALSE), 1)</f>
        <v>1.5061189234554349E-5</v>
      </c>
      <c r="AA3" s="7">
        <f>$B3 * IFERROR(VLOOKUP("industry|PM25|Infant mortality", US_national_yearly!$D:$AM, 35, FALSE) / VLOOKUP("industry|PM25|Infant mortality", US_national_yearly!$D:$AM, 10, FALSE), 1)</f>
        <v>1.4968045746583855E-5</v>
      </c>
      <c r="AB3" s="7">
        <f>$B3 * IFERROR(VLOOKUP("industry|PM25|Infant mortality", US_national_yearly!$D:$AM, 36, FALSE) / VLOOKUP("industry|PM25|Infant mortality", US_national_yearly!$D:$AM, 10, FALSE), 1)</f>
        <v>1.4874902258613361E-5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6.0557732098801928E-2</v>
      </c>
      <c r="C6" s="7">
        <f>$B6 * IFERROR(VLOOKUP("industry|PM25|Asthma symptoms cough", US_national_yearly!$D:$AM, 11, FALSE) / VLOOKUP("industry|PM25|Asthma symptoms cough", US_national_yearly!$D:$AM, 10, FALSE), 1)</f>
        <v>6.0557732098801928E-2</v>
      </c>
      <c r="D6" s="7">
        <f>$B6 * IFERROR(VLOOKUP("industry|PM25|Asthma symptoms cough", US_national_yearly!$D:$AM, 12, FALSE) / VLOOKUP("industry|PM25|Asthma symptoms cough", US_national_yearly!$D:$AM, 10, FALSE), 1)</f>
        <v>6.0557732098801928E-2</v>
      </c>
      <c r="E6" s="7">
        <f>$B6 * IFERROR(VLOOKUP("industry|PM25|Asthma symptoms cough", US_national_yearly!$D:$AM, 13, FALSE) / VLOOKUP("industry|PM25|Asthma symptoms cough", US_national_yearly!$D:$AM, 10, FALSE), 1)</f>
        <v>6.0557732098801928E-2</v>
      </c>
      <c r="F6" s="7">
        <f>$B6 * IFERROR(VLOOKUP("industry|PM25|Asthma symptoms cough", US_national_yearly!$D:$AM, 14, FALSE) / VLOOKUP("industry|PM25|Asthma symptoms cough", US_national_yearly!$D:$AM, 10, FALSE), 1)</f>
        <v>6.0557732098801928E-2</v>
      </c>
      <c r="G6" s="7">
        <f>$B6 * IFERROR(VLOOKUP("industry|PM25|Asthma symptoms cough", US_national_yearly!$D:$AM, 15, FALSE) / VLOOKUP("industry|PM25|Asthma symptoms cough", US_national_yearly!$D:$AM, 10, FALSE), 1)</f>
        <v>6.0557732098801928E-2</v>
      </c>
      <c r="H6" s="7">
        <f>$B6 * IFERROR(VLOOKUP("industry|PM25|Asthma symptoms cough", US_national_yearly!$D:$AM, 16, FALSE) / VLOOKUP("industry|PM25|Asthma symptoms cough", US_national_yearly!$D:$AM, 10, FALSE), 1)</f>
        <v>6.0557732098801928E-2</v>
      </c>
      <c r="I6" s="7">
        <f>$B6 * IFERROR(VLOOKUP("industry|PM25|Asthma symptoms cough", US_national_yearly!$D:$AM, 17, FALSE) / VLOOKUP("industry|PM25|Asthma symptoms cough", US_national_yearly!$D:$AM, 10, FALSE), 1)</f>
        <v>6.0557732098801928E-2</v>
      </c>
      <c r="J6" s="7">
        <f>$B6 * IFERROR(VLOOKUP("industry|PM25|Asthma symptoms cough", US_national_yearly!$D:$AM, 18, FALSE) / VLOOKUP("industry|PM25|Asthma symptoms cough", US_national_yearly!$D:$AM, 10, FALSE), 1)</f>
        <v>6.0557732098801928E-2</v>
      </c>
      <c r="K6" s="7">
        <f>$B6 * IFERROR(VLOOKUP("industry|PM25|Asthma symptoms cough", US_national_yearly!$D:$AM, 19, FALSE) / VLOOKUP("industry|PM25|Asthma symptoms cough", US_national_yearly!$D:$AM, 10, FALSE), 1)</f>
        <v>6.0557732098801928E-2</v>
      </c>
      <c r="L6" s="7">
        <f>$B6 * IFERROR(VLOOKUP("industry|PM25|Asthma symptoms cough", US_national_yearly!$D:$AM, 20, FALSE) / VLOOKUP("industry|PM25|Asthma symptoms cough", US_national_yearly!$D:$AM, 10, FALSE), 1)</f>
        <v>6.0557732098801928E-2</v>
      </c>
      <c r="M6" s="7">
        <f>$B6 * IFERROR(VLOOKUP("industry|PM25|Asthma symptoms cough", US_national_yearly!$D:$AM, 21, FALSE) / VLOOKUP("industry|PM25|Asthma symptoms cough", US_national_yearly!$D:$AM, 10, FALSE), 1)</f>
        <v>6.0557732098801928E-2</v>
      </c>
      <c r="N6" s="7">
        <f>$B6 * IFERROR(VLOOKUP("industry|PM25|Asthma symptoms cough", US_national_yearly!$D:$AM, 22, FALSE) / VLOOKUP("industry|PM25|Asthma symptoms cough", US_national_yearly!$D:$AM, 10, FALSE), 1)</f>
        <v>6.0557732098801928E-2</v>
      </c>
      <c r="O6" s="7">
        <f>$B6 * IFERROR(VLOOKUP("industry|PM25|Asthma symptoms cough", US_national_yearly!$D:$AM, 23, FALSE) / VLOOKUP("industry|PM25|Asthma symptoms cough", US_national_yearly!$D:$AM, 10, FALSE), 1)</f>
        <v>6.0557732098801928E-2</v>
      </c>
      <c r="P6" s="7">
        <f>$B6 * IFERROR(VLOOKUP("industry|PM25|Asthma symptoms cough", US_national_yearly!$D:$AM, 24, FALSE) / VLOOKUP("industry|PM25|Asthma symptoms cough", US_national_yearly!$D:$AM, 10, FALSE), 1)</f>
        <v>6.0557732098801928E-2</v>
      </c>
      <c r="Q6" s="7">
        <f>$B6 * IFERROR(VLOOKUP("industry|PM25|Asthma symptoms cough", US_national_yearly!$D:$AM, 25, FALSE) / VLOOKUP("industry|PM25|Asthma symptoms cough", US_national_yearly!$D:$AM, 10, FALSE), 1)</f>
        <v>6.0557732098801928E-2</v>
      </c>
      <c r="R6" s="7">
        <f>$B6 * IFERROR(VLOOKUP("industry|PM25|Asthma symptoms cough", US_national_yearly!$D:$AM, 26, FALSE) / VLOOKUP("industry|PM25|Asthma symptoms cough", US_national_yearly!$D:$AM, 10, FALSE), 1)</f>
        <v>6.0557732098801928E-2</v>
      </c>
      <c r="S6" s="7">
        <f>$B6 * IFERROR(VLOOKUP("industry|PM25|Asthma symptoms cough", US_national_yearly!$D:$AM, 27, FALSE) / VLOOKUP("industry|PM25|Asthma symptoms cough", US_national_yearly!$D:$AM, 10, FALSE), 1)</f>
        <v>6.0557732098801928E-2</v>
      </c>
      <c r="T6" s="7">
        <f>$B6 * IFERROR(VLOOKUP("industry|PM25|Asthma symptoms cough", US_national_yearly!$D:$AM, 28, FALSE) / VLOOKUP("industry|PM25|Asthma symptoms cough", US_national_yearly!$D:$AM, 10, FALSE), 1)</f>
        <v>6.0557732098801928E-2</v>
      </c>
      <c r="U6" s="7">
        <f>$B6 * IFERROR(VLOOKUP("industry|PM25|Asthma symptoms cough", US_national_yearly!$D:$AM, 29, FALSE) / VLOOKUP("industry|PM25|Asthma symptoms cough", US_national_yearly!$D:$AM, 10, FALSE), 1)</f>
        <v>6.0557732098801928E-2</v>
      </c>
      <c r="V6" s="7">
        <f>$B6 * IFERROR(VLOOKUP("industry|PM25|Asthma symptoms cough", US_national_yearly!$D:$AM, 30, FALSE) / VLOOKUP("industry|PM25|Asthma symptoms cough", US_national_yearly!$D:$AM, 10, FALSE), 1)</f>
        <v>6.0557732098801928E-2</v>
      </c>
      <c r="W6" s="7">
        <f>$B6 * IFERROR(VLOOKUP("industry|PM25|Asthma symptoms cough", US_national_yearly!$D:$AM, 31, FALSE) / VLOOKUP("industry|PM25|Asthma symptoms cough", US_national_yearly!$D:$AM, 10, FALSE), 1)</f>
        <v>6.0557732098801928E-2</v>
      </c>
      <c r="X6" s="7">
        <f>$B6 * IFERROR(VLOOKUP("industry|PM25|Asthma symptoms cough", US_national_yearly!$D:$AM, 32, FALSE) / VLOOKUP("industry|PM25|Asthma symptoms cough", US_national_yearly!$D:$AM, 10, FALSE), 1)</f>
        <v>6.0557732098801928E-2</v>
      </c>
      <c r="Y6" s="7">
        <f>$B6 * IFERROR(VLOOKUP("industry|PM25|Asthma symptoms cough", US_national_yearly!$D:$AM, 33, FALSE) / VLOOKUP("industry|PM25|Asthma symptoms cough", US_national_yearly!$D:$AM, 10, FALSE), 1)</f>
        <v>6.0557732098801928E-2</v>
      </c>
      <c r="Z6" s="7">
        <f>$B6 * IFERROR(VLOOKUP("industry|PM25|Asthma symptoms cough", US_national_yearly!$D:$AM, 34, FALSE) / VLOOKUP("industry|PM25|Asthma symptoms cough", US_national_yearly!$D:$AM, 10, FALSE), 1)</f>
        <v>6.0557732098801928E-2</v>
      </c>
      <c r="AA6" s="7">
        <f>$B6 * IFERROR(VLOOKUP("industry|PM25|Asthma symptoms cough", US_national_yearly!$D:$AM, 35, FALSE) / VLOOKUP("industry|PM25|Asthma symptoms cough", US_national_yearly!$D:$AM, 10, FALSE), 1)</f>
        <v>6.0557732098801928E-2</v>
      </c>
      <c r="AB6" s="7">
        <f>$B6 * IFERROR(VLOOKUP("industry|PM25|Asthma symptoms cough", US_national_yearly!$D:$AM, 36, FALSE) / VLOOKUP("industry|PM25|Asthma symptoms cough", US_national_yearly!$D:$AM, 10, FALSE), 1)</f>
        <v>6.0557732098801928E-2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8.1539931300654955E-2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8.1539931300654955E-2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8.1539931300654955E-2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8.1539931300654955E-2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8.1539931300654955E-2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8.1539931300654955E-2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8.1539931300654955E-2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8.1539931300654955E-2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8.1539931300654955E-2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8.1539931300654955E-2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8.1539931300654955E-2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8.1539931300654955E-2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8.1539931300654955E-2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8.1539931300654955E-2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8.1539931300654955E-2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8.1539931300654955E-2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8.1539931300654955E-2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8.1539931300654955E-2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8.1539931300654955E-2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8.1539931300654955E-2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8.1539931300654955E-2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8.1539931300654955E-2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8.1539931300654955E-2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8.1539931300654955E-2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8.1539931300654955E-2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8.1539931300654955E-2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8.1539931300654955E-2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0.1246142461696688</v>
      </c>
      <c r="C8" s="7">
        <f>$B8 * IFERROR(VLOOKUP("industry|PM25|Asthma symptoms wheeze", US_national_yearly!$D:$AM, 11, FALSE) / VLOOKUP("industry|PM25|Asthma symptoms wheeze", US_national_yearly!$D:$AM, 10, FALSE), 1)</f>
        <v>0.1246142461696688</v>
      </c>
      <c r="D8" s="7">
        <f>$B8 * IFERROR(VLOOKUP("industry|PM25|Asthma symptoms wheeze", US_national_yearly!$D:$AM, 12, FALSE) / VLOOKUP("industry|PM25|Asthma symptoms wheeze", US_national_yearly!$D:$AM, 10, FALSE), 1)</f>
        <v>0.1246142461696688</v>
      </c>
      <c r="E8" s="7">
        <f>$B8 * IFERROR(VLOOKUP("industry|PM25|Asthma symptoms wheeze", US_national_yearly!$D:$AM, 13, FALSE) / VLOOKUP("industry|PM25|Asthma symptoms wheeze", US_national_yearly!$D:$AM, 10, FALSE), 1)</f>
        <v>0.1246142461696688</v>
      </c>
      <c r="F8" s="7">
        <f>$B8 * IFERROR(VLOOKUP("industry|PM25|Asthma symptoms wheeze", US_national_yearly!$D:$AM, 14, FALSE) / VLOOKUP("industry|PM25|Asthma symptoms wheeze", US_national_yearly!$D:$AM, 10, FALSE), 1)</f>
        <v>0.1246142461696688</v>
      </c>
      <c r="G8" s="7">
        <f>$B8 * IFERROR(VLOOKUP("industry|PM25|Asthma symptoms wheeze", US_national_yearly!$D:$AM, 15, FALSE) / VLOOKUP("industry|PM25|Asthma symptoms wheeze", US_national_yearly!$D:$AM, 10, FALSE), 1)</f>
        <v>0.1246142461696688</v>
      </c>
      <c r="H8" s="7">
        <f>$B8 * IFERROR(VLOOKUP("industry|PM25|Asthma symptoms wheeze", US_national_yearly!$D:$AM, 16, FALSE) / VLOOKUP("industry|PM25|Asthma symptoms wheeze", US_national_yearly!$D:$AM, 10, FALSE), 1)</f>
        <v>0.1246142461696688</v>
      </c>
      <c r="I8" s="7">
        <f>$B8 * IFERROR(VLOOKUP("industry|PM25|Asthma symptoms wheeze", US_national_yearly!$D:$AM, 17, FALSE) / VLOOKUP("industry|PM25|Asthma symptoms wheeze", US_national_yearly!$D:$AM, 10, FALSE), 1)</f>
        <v>0.1246142461696688</v>
      </c>
      <c r="J8" s="7">
        <f>$B8 * IFERROR(VLOOKUP("industry|PM25|Asthma symptoms wheeze", US_national_yearly!$D:$AM, 18, FALSE) / VLOOKUP("industry|PM25|Asthma symptoms wheeze", US_national_yearly!$D:$AM, 10, FALSE), 1)</f>
        <v>0.1246142461696688</v>
      </c>
      <c r="K8" s="7">
        <f>$B8 * IFERROR(VLOOKUP("industry|PM25|Asthma symptoms wheeze", US_national_yearly!$D:$AM, 19, FALSE) / VLOOKUP("industry|PM25|Asthma symptoms wheeze", US_national_yearly!$D:$AM, 10, FALSE), 1)</f>
        <v>0.1246142461696688</v>
      </c>
      <c r="L8" s="7">
        <f>$B8 * IFERROR(VLOOKUP("industry|PM25|Asthma symptoms wheeze", US_national_yearly!$D:$AM, 20, FALSE) / VLOOKUP("industry|PM25|Asthma symptoms wheeze", US_national_yearly!$D:$AM, 10, FALSE), 1)</f>
        <v>0.1246142461696688</v>
      </c>
      <c r="M8" s="7">
        <f>$B8 * IFERROR(VLOOKUP("industry|PM25|Asthma symptoms wheeze", US_national_yearly!$D:$AM, 21, FALSE) / VLOOKUP("industry|PM25|Asthma symptoms wheeze", US_national_yearly!$D:$AM, 10, FALSE), 1)</f>
        <v>0.1246142461696688</v>
      </c>
      <c r="N8" s="7">
        <f>$B8 * IFERROR(VLOOKUP("industry|PM25|Asthma symptoms wheeze", US_national_yearly!$D:$AM, 22, FALSE) / VLOOKUP("industry|PM25|Asthma symptoms wheeze", US_national_yearly!$D:$AM, 10, FALSE), 1)</f>
        <v>0.1246142461696688</v>
      </c>
      <c r="O8" s="7">
        <f>$B8 * IFERROR(VLOOKUP("industry|PM25|Asthma symptoms wheeze", US_national_yearly!$D:$AM, 23, FALSE) / VLOOKUP("industry|PM25|Asthma symptoms wheeze", US_national_yearly!$D:$AM, 10, FALSE), 1)</f>
        <v>0.1246142461696688</v>
      </c>
      <c r="P8" s="7">
        <f>$B8 * IFERROR(VLOOKUP("industry|PM25|Asthma symptoms wheeze", US_national_yearly!$D:$AM, 24, FALSE) / VLOOKUP("industry|PM25|Asthma symptoms wheeze", US_national_yearly!$D:$AM, 10, FALSE), 1)</f>
        <v>0.1246142461696688</v>
      </c>
      <c r="Q8" s="7">
        <f>$B8 * IFERROR(VLOOKUP("industry|PM25|Asthma symptoms wheeze", US_national_yearly!$D:$AM, 25, FALSE) / VLOOKUP("industry|PM25|Asthma symptoms wheeze", US_national_yearly!$D:$AM, 10, FALSE), 1)</f>
        <v>0.1246142461696688</v>
      </c>
      <c r="R8" s="7">
        <f>$B8 * IFERROR(VLOOKUP("industry|PM25|Asthma symptoms wheeze", US_national_yearly!$D:$AM, 26, FALSE) / VLOOKUP("industry|PM25|Asthma symptoms wheeze", US_national_yearly!$D:$AM, 10, FALSE), 1)</f>
        <v>0.1246142461696688</v>
      </c>
      <c r="S8" s="7">
        <f>$B8 * IFERROR(VLOOKUP("industry|PM25|Asthma symptoms wheeze", US_national_yearly!$D:$AM, 27, FALSE) / VLOOKUP("industry|PM25|Asthma symptoms wheeze", US_national_yearly!$D:$AM, 10, FALSE), 1)</f>
        <v>0.1246142461696688</v>
      </c>
      <c r="T8" s="7">
        <f>$B8 * IFERROR(VLOOKUP("industry|PM25|Asthma symptoms wheeze", US_national_yearly!$D:$AM, 28, FALSE) / VLOOKUP("industry|PM25|Asthma symptoms wheeze", US_national_yearly!$D:$AM, 10, FALSE), 1)</f>
        <v>0.1246142461696688</v>
      </c>
      <c r="U8" s="7">
        <f>$B8 * IFERROR(VLOOKUP("industry|PM25|Asthma symptoms wheeze", US_national_yearly!$D:$AM, 29, FALSE) / VLOOKUP("industry|PM25|Asthma symptoms wheeze", US_national_yearly!$D:$AM, 10, FALSE), 1)</f>
        <v>0.1246142461696688</v>
      </c>
      <c r="V8" s="7">
        <f>$B8 * IFERROR(VLOOKUP("industry|PM25|Asthma symptoms wheeze", US_national_yearly!$D:$AM, 30, FALSE) / VLOOKUP("industry|PM25|Asthma symptoms wheeze", US_national_yearly!$D:$AM, 10, FALSE), 1)</f>
        <v>0.1246142461696688</v>
      </c>
      <c r="W8" s="7">
        <f>$B8 * IFERROR(VLOOKUP("industry|PM25|Asthma symptoms wheeze", US_national_yearly!$D:$AM, 31, FALSE) / VLOOKUP("industry|PM25|Asthma symptoms wheeze", US_national_yearly!$D:$AM, 10, FALSE), 1)</f>
        <v>0.1246142461696688</v>
      </c>
      <c r="X8" s="7">
        <f>$B8 * IFERROR(VLOOKUP("industry|PM25|Asthma symptoms wheeze", US_national_yearly!$D:$AM, 32, FALSE) / VLOOKUP("industry|PM25|Asthma symptoms wheeze", US_national_yearly!$D:$AM, 10, FALSE), 1)</f>
        <v>0.1246142461696688</v>
      </c>
      <c r="Y8" s="7">
        <f>$B8 * IFERROR(VLOOKUP("industry|PM25|Asthma symptoms wheeze", US_national_yearly!$D:$AM, 33, FALSE) / VLOOKUP("industry|PM25|Asthma symptoms wheeze", US_national_yearly!$D:$AM, 10, FALSE), 1)</f>
        <v>0.1246142461696688</v>
      </c>
      <c r="Z8" s="7">
        <f>$B8 * IFERROR(VLOOKUP("industry|PM25|Asthma symptoms wheeze", US_national_yearly!$D:$AM, 34, FALSE) / VLOOKUP("industry|PM25|Asthma symptoms wheeze", US_national_yearly!$D:$AM, 10, FALSE), 1)</f>
        <v>0.1246142461696688</v>
      </c>
      <c r="AA8" s="7">
        <f>$B8 * IFERROR(VLOOKUP("industry|PM25|Asthma symptoms wheeze", US_national_yearly!$D:$AM, 35, FALSE) / VLOOKUP("industry|PM25|Asthma symptoms wheeze", US_national_yearly!$D:$AM, 10, FALSE), 1)</f>
        <v>0.1246142461696688</v>
      </c>
      <c r="AB8" s="7">
        <f>$B8 * IFERROR(VLOOKUP("industry|PM25|Asthma symptoms wheeze", US_national_yearly!$D:$AM, 36, FALSE) / VLOOKUP("industry|PM25|Asthma symptoms wheeze", US_national_yearly!$D:$AM, 10, FALSE), 1)</f>
        <v>0.1246142461696688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1.2464172572573468E-3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1.253493870580576E-3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1.2605704839038054E-3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1.2676470972270346E-3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1.2747237105502642E-3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1.2823748643559646E-3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1.290026018161665E-3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1.2972841001108707E-3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1.3045421820600763E-3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1.3118002640092816E-3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1.319058345958487E-3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1.3263164279076927E-3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1.3314498659542132E-3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1.3365833040007336E-3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1.3417167420472541E-3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1.3468501800937742E-3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1.3519836181402948E-3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1.3568253577967812E-3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1.3616670974532677E-3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1.3665088371097543E-3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1.3713505767662408E-3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1.3761923164227275E-3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1.3808542077895834E-3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1.3855160991564394E-3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1.3901779905232956E-3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1.3948398818901518E-3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1.3995017732570077E-3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8.3800967713619206E-3</v>
      </c>
      <c r="C13" s="7">
        <f>$B13 * IFERROR(VLOOKUP("industry|PM25|Non-fatal heart attacks", US_national_yearly!$D:$AM, 11, FALSE) / VLOOKUP("industry|PM25|Non-fatal heart attacks", US_national_yearly!$D:$AM, 10, FALSE), 1)</f>
        <v>8.6240435856871859E-3</v>
      </c>
      <c r="D13" s="7">
        <f>$B13 * IFERROR(VLOOKUP("industry|PM25|Non-fatal heart attacks", US_national_yearly!$D:$AM, 12, FALSE) / VLOOKUP("industry|PM25|Non-fatal heart attacks", US_national_yearly!$D:$AM, 10, FALSE), 1)</f>
        <v>8.8679904000124477E-3</v>
      </c>
      <c r="E13" s="7">
        <f>$B13 * IFERROR(VLOOKUP("industry|PM25|Non-fatal heart attacks", US_national_yearly!$D:$AM, 13, FALSE) / VLOOKUP("industry|PM25|Non-fatal heart attacks", US_national_yearly!$D:$AM, 10, FALSE), 1)</f>
        <v>9.111937214337713E-3</v>
      </c>
      <c r="F13" s="7">
        <f>$B13 * IFERROR(VLOOKUP("industry|PM25|Non-fatal heart attacks", US_national_yearly!$D:$AM, 14, FALSE) / VLOOKUP("industry|PM25|Non-fatal heart attacks", US_national_yearly!$D:$AM, 10, FALSE), 1)</f>
        <v>9.3558840286629766E-3</v>
      </c>
      <c r="G13" s="7">
        <f>$B13 * IFERROR(VLOOKUP("industry|PM25|Non-fatal heart attacks", US_national_yearly!$D:$AM, 15, FALSE) / VLOOKUP("industry|PM25|Non-fatal heart attacks", US_national_yearly!$D:$AM, 10, FALSE), 1)</f>
        <v>9.5861869740740731E-3</v>
      </c>
      <c r="H13" s="7">
        <f>$B13 * IFERROR(VLOOKUP("industry|PM25|Non-fatal heart attacks", US_national_yearly!$D:$AM, 16, FALSE) / VLOOKUP("industry|PM25|Non-fatal heart attacks", US_national_yearly!$D:$AM, 10, FALSE), 1)</f>
        <v>9.8164899194851715E-3</v>
      </c>
      <c r="I13" s="7">
        <f>$B13 * IFERROR(VLOOKUP("industry|PM25|Non-fatal heart attacks", US_national_yearly!$D:$AM, 17, FALSE) / VLOOKUP("industry|PM25|Non-fatal heart attacks", US_national_yearly!$D:$AM, 10, FALSE), 1)</f>
        <v>1.0002461674805847E-2</v>
      </c>
      <c r="J13" s="7">
        <f>$B13 * IFERROR(VLOOKUP("industry|PM25|Non-fatal heart attacks", US_national_yearly!$D:$AM, 18, FALSE) / VLOOKUP("industry|PM25|Non-fatal heart attacks", US_national_yearly!$D:$AM, 10, FALSE), 1)</f>
        <v>1.018843343012652E-2</v>
      </c>
      <c r="K13" s="7">
        <f>$B13 * IFERROR(VLOOKUP("industry|PM25|Non-fatal heart attacks", US_national_yearly!$D:$AM, 19, FALSE) / VLOOKUP("industry|PM25|Non-fatal heart attacks", US_national_yearly!$D:$AM, 10, FALSE), 1)</f>
        <v>1.0374405185447194E-2</v>
      </c>
      <c r="L13" s="7">
        <f>$B13 * IFERROR(VLOOKUP("industry|PM25|Non-fatal heart attacks", US_national_yearly!$D:$AM, 20, FALSE) / VLOOKUP("industry|PM25|Non-fatal heart attacks", US_national_yearly!$D:$AM, 10, FALSE), 1)</f>
        <v>1.0560376940767866E-2</v>
      </c>
      <c r="M13" s="7">
        <f>$B13 * IFERROR(VLOOKUP("industry|PM25|Non-fatal heart attacks", US_national_yearly!$D:$AM, 21, FALSE) / VLOOKUP("industry|PM25|Non-fatal heart attacks", US_national_yearly!$D:$AM, 10, FALSE), 1)</f>
        <v>1.074634869608854E-2</v>
      </c>
      <c r="N13" s="7">
        <f>$B13 * IFERROR(VLOOKUP("industry|PM25|Non-fatal heart attacks", US_national_yearly!$D:$AM, 22, FALSE) / VLOOKUP("industry|PM25|Non-fatal heart attacks", US_national_yearly!$D:$AM, 10, FALSE), 1)</f>
        <v>1.0866589792842626E-2</v>
      </c>
      <c r="O13" s="7">
        <f>$B13 * IFERROR(VLOOKUP("industry|PM25|Non-fatal heart attacks", US_national_yearly!$D:$AM, 23, FALSE) / VLOOKUP("industry|PM25|Non-fatal heart attacks", US_national_yearly!$D:$AM, 10, FALSE), 1)</f>
        <v>1.0986830889596712E-2</v>
      </c>
      <c r="P13" s="7">
        <f>$B13 * IFERROR(VLOOKUP("industry|PM25|Non-fatal heart attacks", US_national_yearly!$D:$AM, 24, FALSE) / VLOOKUP("industry|PM25|Non-fatal heart attacks", US_national_yearly!$D:$AM, 10, FALSE), 1)</f>
        <v>1.1107071986350799E-2</v>
      </c>
      <c r="Q13" s="7">
        <f>$B13 * IFERROR(VLOOKUP("industry|PM25|Non-fatal heart attacks", US_national_yearly!$D:$AM, 25, FALSE) / VLOOKUP("industry|PM25|Non-fatal heart attacks", US_national_yearly!$D:$AM, 10, FALSE), 1)</f>
        <v>1.1227313083104883E-2</v>
      </c>
      <c r="R13" s="7">
        <f>$B13 * IFERROR(VLOOKUP("industry|PM25|Non-fatal heart attacks", US_national_yearly!$D:$AM, 26, FALSE) / VLOOKUP("industry|PM25|Non-fatal heart attacks", US_national_yearly!$D:$AM, 10, FALSE), 1)</f>
        <v>1.1347554179858971E-2</v>
      </c>
      <c r="S13" s="7">
        <f>$B13 * IFERROR(VLOOKUP("industry|PM25|Non-fatal heart attacks", US_national_yearly!$D:$AM, 27, FALSE) / VLOOKUP("industry|PM25|Non-fatal heart attacks", US_national_yearly!$D:$AM, 10, FALSE), 1)</f>
        <v>1.1411775405306912E-2</v>
      </c>
      <c r="T13" s="7">
        <f>$B13 * IFERROR(VLOOKUP("industry|PM25|Non-fatal heart attacks", US_national_yearly!$D:$AM, 28, FALSE) / VLOOKUP("industry|PM25|Non-fatal heart attacks", US_national_yearly!$D:$AM, 10, FALSE), 1)</f>
        <v>1.1475996630754859E-2</v>
      </c>
      <c r="U13" s="7">
        <f>$B13 * IFERROR(VLOOKUP("industry|PM25|Non-fatal heart attacks", US_national_yearly!$D:$AM, 29, FALSE) / VLOOKUP("industry|PM25|Non-fatal heart attacks", US_national_yearly!$D:$AM, 10, FALSE), 1)</f>
        <v>1.1540217856202802E-2</v>
      </c>
      <c r="V13" s="7">
        <f>$B13 * IFERROR(VLOOKUP("industry|PM25|Non-fatal heart attacks", US_national_yearly!$D:$AM, 30, FALSE) / VLOOKUP("industry|PM25|Non-fatal heart attacks", US_national_yearly!$D:$AM, 10, FALSE), 1)</f>
        <v>1.1604439081650743E-2</v>
      </c>
      <c r="W13" s="7">
        <f>$B13 * IFERROR(VLOOKUP("industry|PM25|Non-fatal heart attacks", US_national_yearly!$D:$AM, 31, FALSE) / VLOOKUP("industry|PM25|Non-fatal heart attacks", US_national_yearly!$D:$AM, 10, FALSE), 1)</f>
        <v>1.1668660307098689E-2</v>
      </c>
      <c r="X13" s="7">
        <f>$B13 * IFERROR(VLOOKUP("industry|PM25|Non-fatal heart attacks", US_national_yearly!$D:$AM, 32, FALSE) / VLOOKUP("industry|PM25|Non-fatal heart attacks", US_national_yearly!$D:$AM, 10, FALSE), 1)</f>
        <v>1.1718225834467721E-2</v>
      </c>
      <c r="Y13" s="7">
        <f>$B13 * IFERROR(VLOOKUP("industry|PM25|Non-fatal heart attacks", US_national_yearly!$D:$AM, 33, FALSE) / VLOOKUP("industry|PM25|Non-fatal heart attacks", US_national_yearly!$D:$AM, 10, FALSE), 1)</f>
        <v>1.1767791361836753E-2</v>
      </c>
      <c r="Z13" s="7">
        <f>$B13 * IFERROR(VLOOKUP("industry|PM25|Non-fatal heart attacks", US_national_yearly!$D:$AM, 34, FALSE) / VLOOKUP("industry|PM25|Non-fatal heart attacks", US_national_yearly!$D:$AM, 10, FALSE), 1)</f>
        <v>1.1817356889205785E-2</v>
      </c>
      <c r="AA13" s="7">
        <f>$B13 * IFERROR(VLOOKUP("industry|PM25|Non-fatal heart attacks", US_national_yearly!$D:$AM, 35, FALSE) / VLOOKUP("industry|PM25|Non-fatal heart attacks", US_national_yearly!$D:$AM, 10, FALSE), 1)</f>
        <v>1.1866922416574818E-2</v>
      </c>
      <c r="AB13" s="7">
        <f>$B13 * IFERROR(VLOOKUP("industry|PM25|Non-fatal heart attacks", US_national_yearly!$D:$AM, 36, FALSE) / VLOOKUP("industry|PM25|Non-fatal heart attacks", US_national_yearly!$D:$AM, 10, FALSE), 1)</f>
        <v>1.191648794394385E-2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7.5219144341106663</v>
      </c>
      <c r="C14" s="7">
        <f>$B14 * IFERROR(VLOOKUP("industry|PM25|Minor restricted activity days", US_national_yearly!$D:$AM, 11, FALSE) / VLOOKUP("industry|PM25|Minor restricted activity days", US_national_yearly!$D:$AM, 10, FALSE), 1)</f>
        <v>7.5403368493606182</v>
      </c>
      <c r="D14" s="7">
        <f>$B14 * IFERROR(VLOOKUP("industry|PM25|Minor restricted activity days", US_national_yearly!$D:$AM, 12, FALSE) / VLOOKUP("industry|PM25|Minor restricted activity days", US_national_yearly!$D:$AM, 10, FALSE), 1)</f>
        <v>7.5587592646105728</v>
      </c>
      <c r="E14" s="7">
        <f>$B14 * IFERROR(VLOOKUP("industry|PM25|Minor restricted activity days", US_national_yearly!$D:$AM, 13, FALSE) / VLOOKUP("industry|PM25|Minor restricted activity days", US_national_yearly!$D:$AM, 10, FALSE), 1)</f>
        <v>7.5771816798605247</v>
      </c>
      <c r="F14" s="7">
        <f>$B14 * IFERROR(VLOOKUP("industry|PM25|Minor restricted activity days", US_national_yearly!$D:$AM, 14, FALSE) / VLOOKUP("industry|PM25|Minor restricted activity days", US_national_yearly!$D:$AM, 10, FALSE), 1)</f>
        <v>7.5956040951104766</v>
      </c>
      <c r="G14" s="7">
        <f>$B14 * IFERROR(VLOOKUP("industry|PM25|Minor restricted activity days", US_national_yearly!$D:$AM, 15, FALSE) / VLOOKUP("industry|PM25|Minor restricted activity days", US_national_yearly!$D:$AM, 10, FALSE), 1)</f>
        <v>7.62264520652678</v>
      </c>
      <c r="H14" s="7">
        <f>$B14 * IFERROR(VLOOKUP("industry|PM25|Minor restricted activity days", US_national_yearly!$D:$AM, 16, FALSE) / VLOOKUP("industry|PM25|Minor restricted activity days", US_national_yearly!$D:$AM, 10, FALSE), 1)</f>
        <v>7.6496863179430807</v>
      </c>
      <c r="I14" s="7">
        <f>$B14 * IFERROR(VLOOKUP("industry|PM25|Minor restricted activity days", US_national_yearly!$D:$AM, 17, FALSE) / VLOOKUP("industry|PM25|Minor restricted activity days", US_national_yearly!$D:$AM, 10, FALSE), 1)</f>
        <v>7.6956222132283791</v>
      </c>
      <c r="J14" s="7">
        <f>$B14 * IFERROR(VLOOKUP("industry|PM25|Minor restricted activity days", US_national_yearly!$D:$AM, 18, FALSE) / VLOOKUP("industry|PM25|Minor restricted activity days", US_national_yearly!$D:$AM, 10, FALSE), 1)</f>
        <v>7.7415581085136784</v>
      </c>
      <c r="K14" s="7">
        <f>$B14 * IFERROR(VLOOKUP("industry|PM25|Minor restricted activity days", US_national_yearly!$D:$AM, 19, FALSE) / VLOOKUP("industry|PM25|Minor restricted activity days", US_national_yearly!$D:$AM, 10, FALSE), 1)</f>
        <v>7.7874940037989751</v>
      </c>
      <c r="L14" s="7">
        <f>$B14 * IFERROR(VLOOKUP("industry|PM25|Minor restricted activity days", US_national_yearly!$D:$AM, 20, FALSE) / VLOOKUP("industry|PM25|Minor restricted activity days", US_national_yearly!$D:$AM, 10, FALSE), 1)</f>
        <v>7.8334298990842735</v>
      </c>
      <c r="M14" s="7">
        <f>$B14 * IFERROR(VLOOKUP("industry|PM25|Minor restricted activity days", US_national_yearly!$D:$AM, 21, FALSE) / VLOOKUP("industry|PM25|Minor restricted activity days", US_national_yearly!$D:$AM, 10, FALSE), 1)</f>
        <v>7.8793657943695719</v>
      </c>
      <c r="N14" s="7">
        <f>$B14 * IFERROR(VLOOKUP("industry|PM25|Minor restricted activity days", US_national_yearly!$D:$AM, 22, FALSE) / VLOOKUP("industry|PM25|Minor restricted activity days", US_national_yearly!$D:$AM, 10, FALSE), 1)</f>
        <v>7.9421187630823171</v>
      </c>
      <c r="O14" s="7">
        <f>$B14 * IFERROR(VLOOKUP("industry|PM25|Minor restricted activity days", US_national_yearly!$D:$AM, 23, FALSE) / VLOOKUP("industry|PM25|Minor restricted activity days", US_national_yearly!$D:$AM, 10, FALSE), 1)</f>
        <v>8.0048717317950704</v>
      </c>
      <c r="P14" s="7">
        <f>$B14 * IFERROR(VLOOKUP("industry|PM25|Minor restricted activity days", US_national_yearly!$D:$AM, 24, FALSE) / VLOOKUP("industry|PM25|Minor restricted activity days", US_national_yearly!$D:$AM, 10, FALSE), 1)</f>
        <v>8.0676247005078157</v>
      </c>
      <c r="Q14" s="7">
        <f>$B14 * IFERROR(VLOOKUP("industry|PM25|Minor restricted activity days", US_national_yearly!$D:$AM, 25, FALSE) / VLOOKUP("industry|PM25|Minor restricted activity days", US_national_yearly!$D:$AM, 10, FALSE), 1)</f>
        <v>8.1303776692205698</v>
      </c>
      <c r="R14" s="7">
        <f>$B14 * IFERROR(VLOOKUP("industry|PM25|Minor restricted activity days", US_national_yearly!$D:$AM, 26, FALSE) / VLOOKUP("industry|PM25|Minor restricted activity days", US_national_yearly!$D:$AM, 10, FALSE), 1)</f>
        <v>8.1931306379333151</v>
      </c>
      <c r="S14" s="7">
        <f>$B14 * IFERROR(VLOOKUP("industry|PM25|Minor restricted activity days", US_national_yearly!$D:$AM, 27, FALSE) / VLOOKUP("industry|PM25|Minor restricted activity days", US_national_yearly!$D:$AM, 10, FALSE), 1)</f>
        <v>8.2564860596882035</v>
      </c>
      <c r="T14" s="7">
        <f>$B14 * IFERROR(VLOOKUP("industry|PM25|Minor restricted activity days", US_national_yearly!$D:$AM, 28, FALSE) / VLOOKUP("industry|PM25|Minor restricted activity days", US_national_yearly!$D:$AM, 10, FALSE), 1)</f>
        <v>8.3198414814430937</v>
      </c>
      <c r="U14" s="7">
        <f>$B14 * IFERROR(VLOOKUP("industry|PM25|Minor restricted activity days", US_national_yearly!$D:$AM, 29, FALSE) / VLOOKUP("industry|PM25|Minor restricted activity days", US_national_yearly!$D:$AM, 10, FALSE), 1)</f>
        <v>8.3831969031979821</v>
      </c>
      <c r="V14" s="7">
        <f>$B14 * IFERROR(VLOOKUP("industry|PM25|Minor restricted activity days", US_national_yearly!$D:$AM, 30, FALSE) / VLOOKUP("industry|PM25|Minor restricted activity days", US_national_yearly!$D:$AM, 10, FALSE), 1)</f>
        <v>8.4465523249528704</v>
      </c>
      <c r="W14" s="7">
        <f>$B14 * IFERROR(VLOOKUP("industry|PM25|Minor restricted activity days", US_national_yearly!$D:$AM, 31, FALSE) / VLOOKUP("industry|PM25|Minor restricted activity days", US_national_yearly!$D:$AM, 10, FALSE), 1)</f>
        <v>8.5099077467077588</v>
      </c>
      <c r="X14" s="7">
        <f>$B14 * IFERROR(VLOOKUP("industry|PM25|Minor restricted activity days", US_national_yearly!$D:$AM, 32, FALSE) / VLOOKUP("industry|PM25|Minor restricted activity days", US_national_yearly!$D:$AM, 10, FALSE), 1)</f>
        <v>8.5649612879484618</v>
      </c>
      <c r="Y14" s="7">
        <f>$B14 * IFERROR(VLOOKUP("industry|PM25|Minor restricted activity days", US_national_yearly!$D:$AM, 33, FALSE) / VLOOKUP("industry|PM25|Minor restricted activity days", US_national_yearly!$D:$AM, 10, FALSE), 1)</f>
        <v>8.6200148291891665</v>
      </c>
      <c r="Z14" s="7">
        <f>$B14 * IFERROR(VLOOKUP("industry|PM25|Minor restricted activity days", US_national_yearly!$D:$AM, 34, FALSE) / VLOOKUP("industry|PM25|Minor restricted activity days", US_national_yearly!$D:$AM, 10, FALSE), 1)</f>
        <v>8.6750683704298712</v>
      </c>
      <c r="AA14" s="7">
        <f>$B14 * IFERROR(VLOOKUP("industry|PM25|Minor restricted activity days", US_national_yearly!$D:$AM, 35, FALSE) / VLOOKUP("industry|PM25|Minor restricted activity days", US_national_yearly!$D:$AM, 10, FALSE), 1)</f>
        <v>8.7301219116705759</v>
      </c>
      <c r="AB14" s="7">
        <f>$B14 * IFERROR(VLOOKUP("industry|PM25|Minor restricted activity days", US_national_yearly!$D:$AM, 36, FALSE) / VLOOKUP("industry|PM25|Minor restricted activity days", US_national_yearly!$D:$AM, 10, FALSE), 1)</f>
        <v>8.7851754529112807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1.2811220308767519</v>
      </c>
      <c r="C15" s="7">
        <f>$B15 * IFERROR(VLOOKUP("industry|PM25|Work loss days", US_national_yearly!$D:$AM, 11, FALSE) / VLOOKUP("industry|PM25|Work loss days", US_national_yearly!$D:$AM, 10, FALSE), 1)</f>
        <v>1.2850940235423449</v>
      </c>
      <c r="D15" s="7">
        <f>$B15 * IFERROR(VLOOKUP("industry|PM25|Work loss days", US_national_yearly!$D:$AM, 12, FALSE) / VLOOKUP("industry|PM25|Work loss days", US_national_yearly!$D:$AM, 10, FALSE), 1)</f>
        <v>1.2890660162079377</v>
      </c>
      <c r="E15" s="7">
        <f>$B15 * IFERROR(VLOOKUP("industry|PM25|Work loss days", US_national_yearly!$D:$AM, 13, FALSE) / VLOOKUP("industry|PM25|Work loss days", US_national_yearly!$D:$AM, 10, FALSE), 1)</f>
        <v>1.2930380088735305</v>
      </c>
      <c r="F15" s="7">
        <f>$B15 * IFERROR(VLOOKUP("industry|PM25|Work loss days", US_national_yearly!$D:$AM, 14, FALSE) / VLOOKUP("industry|PM25|Work loss days", US_national_yearly!$D:$AM, 10, FALSE), 1)</f>
        <v>1.2970100015391233</v>
      </c>
      <c r="G15" s="7">
        <f>$B15 * IFERROR(VLOOKUP("industry|PM25|Work loss days", US_national_yearly!$D:$AM, 15, FALSE) / VLOOKUP("industry|PM25|Work loss days", US_national_yearly!$D:$AM, 10, FALSE), 1)</f>
        <v>1.3021956118771254</v>
      </c>
      <c r="H15" s="7">
        <f>$B15 * IFERROR(VLOOKUP("industry|PM25|Work loss days", US_national_yearly!$D:$AM, 16, FALSE) / VLOOKUP("industry|PM25|Work loss days", US_national_yearly!$D:$AM, 10, FALSE), 1)</f>
        <v>1.3073812222151275</v>
      </c>
      <c r="I15" s="7">
        <f>$B15 * IFERROR(VLOOKUP("industry|PM25|Work loss days", US_national_yearly!$D:$AM, 17, FALSE) / VLOOKUP("industry|PM25|Work loss days", US_national_yearly!$D:$AM, 10, FALSE), 1)</f>
        <v>1.3149746061421035</v>
      </c>
      <c r="J15" s="7">
        <f>$B15 * IFERROR(VLOOKUP("industry|PM25|Work loss days", US_national_yearly!$D:$AM, 18, FALSE) / VLOOKUP("industry|PM25|Work loss days", US_national_yearly!$D:$AM, 10, FALSE), 1)</f>
        <v>1.3225679900690794</v>
      </c>
      <c r="K15" s="7">
        <f>$B15 * IFERROR(VLOOKUP("industry|PM25|Work loss days", US_national_yearly!$D:$AM, 19, FALSE) / VLOOKUP("industry|PM25|Work loss days", US_national_yearly!$D:$AM, 10, FALSE), 1)</f>
        <v>1.3301613739960552</v>
      </c>
      <c r="L15" s="7">
        <f>$B15 * IFERROR(VLOOKUP("industry|PM25|Work loss days", US_national_yearly!$D:$AM, 20, FALSE) / VLOOKUP("industry|PM25|Work loss days", US_national_yearly!$D:$AM, 10, FALSE), 1)</f>
        <v>1.3377547579230311</v>
      </c>
      <c r="M15" s="7">
        <f>$B15 * IFERROR(VLOOKUP("industry|PM25|Work loss days", US_national_yearly!$D:$AM, 21, FALSE) / VLOOKUP("industry|PM25|Work loss days", US_national_yearly!$D:$AM, 10, FALSE), 1)</f>
        <v>1.3453481418500071</v>
      </c>
      <c r="N15" s="7">
        <f>$B15 * IFERROR(VLOOKUP("industry|PM25|Work loss days", US_national_yearly!$D:$AM, 22, FALSE) / VLOOKUP("industry|PM25|Work loss days", US_national_yearly!$D:$AM, 10, FALSE), 1)</f>
        <v>1.3549299956743281</v>
      </c>
      <c r="O15" s="7">
        <f>$B15 * IFERROR(VLOOKUP("industry|PM25|Work loss days", US_national_yearly!$D:$AM, 23, FALSE) / VLOOKUP("industry|PM25|Work loss days", US_national_yearly!$D:$AM, 10, FALSE), 1)</f>
        <v>1.364511849498649</v>
      </c>
      <c r="P15" s="7">
        <f>$B15 * IFERROR(VLOOKUP("industry|PM25|Work loss days", US_national_yearly!$D:$AM, 24, FALSE) / VLOOKUP("industry|PM25|Work loss days", US_national_yearly!$D:$AM, 10, FALSE), 1)</f>
        <v>1.3740937033229699</v>
      </c>
      <c r="Q15" s="7">
        <f>$B15 * IFERROR(VLOOKUP("industry|PM25|Work loss days", US_national_yearly!$D:$AM, 25, FALSE) / VLOOKUP("industry|PM25|Work loss days", US_national_yearly!$D:$AM, 10, FALSE), 1)</f>
        <v>1.3836755571472907</v>
      </c>
      <c r="R15" s="7">
        <f>$B15 * IFERROR(VLOOKUP("industry|PM25|Work loss days", US_national_yearly!$D:$AM, 26, FALSE) / VLOOKUP("industry|PM25|Work loss days", US_national_yearly!$D:$AM, 10, FALSE), 1)</f>
        <v>1.3932574109716114</v>
      </c>
      <c r="S15" s="7">
        <f>$B15 * IFERROR(VLOOKUP("industry|PM25|Work loss days", US_national_yearly!$D:$AM, 27, FALSE) / VLOOKUP("industry|PM25|Work loss days", US_national_yearly!$D:$AM, 10, FALSE), 1)</f>
        <v>1.4038823284579747</v>
      </c>
      <c r="T15" s="7">
        <f>$B15 * IFERROR(VLOOKUP("industry|PM25|Work loss days", US_national_yearly!$D:$AM, 28, FALSE) / VLOOKUP("industry|PM25|Work loss days", US_national_yearly!$D:$AM, 10, FALSE), 1)</f>
        <v>1.4145072459443375</v>
      </c>
      <c r="U15" s="7">
        <f>$B15 * IFERROR(VLOOKUP("industry|PM25|Work loss days", US_national_yearly!$D:$AM, 29, FALSE) / VLOOKUP("industry|PM25|Work loss days", US_national_yearly!$D:$AM, 10, FALSE), 1)</f>
        <v>1.4251321634307006</v>
      </c>
      <c r="V15" s="7">
        <f>$B15 * IFERROR(VLOOKUP("industry|PM25|Work loss days", US_national_yearly!$D:$AM, 30, FALSE) / VLOOKUP("industry|PM25|Work loss days", US_national_yearly!$D:$AM, 10, FALSE), 1)</f>
        <v>1.4357570809170634</v>
      </c>
      <c r="W15" s="7">
        <f>$B15 * IFERROR(VLOOKUP("industry|PM25|Work loss days", US_national_yearly!$D:$AM, 31, FALSE) / VLOOKUP("industry|PM25|Work loss days", US_national_yearly!$D:$AM, 10, FALSE), 1)</f>
        <v>1.4463819984034267</v>
      </c>
      <c r="X15" s="7">
        <f>$B15 * IFERROR(VLOOKUP("industry|PM25|Work loss days", US_national_yearly!$D:$AM, 32, FALSE) / VLOOKUP("industry|PM25|Work loss days", US_national_yearly!$D:$AM, 10, FALSE), 1)</f>
        <v>1.4558236346608708</v>
      </c>
      <c r="Y15" s="7">
        <f>$B15 * IFERROR(VLOOKUP("industry|PM25|Work loss days", US_national_yearly!$D:$AM, 33, FALSE) / VLOOKUP("industry|PM25|Work loss days", US_national_yearly!$D:$AM, 10, FALSE), 1)</f>
        <v>1.4652652709183152</v>
      </c>
      <c r="Z15" s="7">
        <f>$B15 * IFERROR(VLOOKUP("industry|PM25|Work loss days", US_national_yearly!$D:$AM, 34, FALSE) / VLOOKUP("industry|PM25|Work loss days", US_national_yearly!$D:$AM, 10, FALSE), 1)</f>
        <v>1.4747069071757595</v>
      </c>
      <c r="AA15" s="7">
        <f>$B15 * IFERROR(VLOOKUP("industry|PM25|Work loss days", US_national_yearly!$D:$AM, 35, FALSE) / VLOOKUP("industry|PM25|Work loss days", US_national_yearly!$D:$AM, 10, FALSE), 1)</f>
        <v>1.4841485434332033</v>
      </c>
      <c r="AB15" s="7">
        <f>$B15 * IFERROR(VLOOKUP("industry|PM25|Work loss days", US_national_yearly!$D:$AM, 36, FALSE) / VLOOKUP("industry|PM25|Work loss days", US_national_yearly!$D:$AM, 10, FALSE), 1)</f>
        <v>1.4935901796906477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1.6409183953560189E-3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1.689999316587555E-3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1.7390802378190911E-3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1.7881611590506272E-3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1.8372420802821631E-3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1.8842826055929108E-3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1.9313231309036583E-3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1.9717115442503506E-3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2.0120999575970427E-3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2.0524883709437357E-3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2.0928767842904278E-3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2.1332651976371203E-3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2.1602448100229987E-3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2.1872244224088767E-3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2.2142040347947552E-3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2.2411836471806332E-3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2.2681632595665116E-3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2.2826182816126817E-3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2.2970733036588521E-3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2.311528325705023E-3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2.3259833477511926E-3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2.3404383697973631E-3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2.3503645547409383E-3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2.3602907396845121E-3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2.3702169246280868E-3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2.3801431095716611E-3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2.3900692945152354E-3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3.8622390387328925E-4</v>
      </c>
      <c r="C2" s="7">
        <f>$B2 * IFERROR(VLOOKUP("industry|NOx|Premature mortality", US_national_yearly!$D:$AM, 11, FALSE) / VLOOKUP("industry|NOx|Premature mortality", US_national_yearly!$D:$AM, 10, FALSE), 1)</f>
        <v>3.9193489536440163E-4</v>
      </c>
      <c r="D2" s="7">
        <f>$B2 * IFERROR(VLOOKUP("industry|NOx|Premature mortality", US_national_yearly!$D:$AM, 12, FALSE) / VLOOKUP("industry|NOx|Premature mortality", US_national_yearly!$D:$AM, 10, FALSE), 1)</f>
        <v>3.9764588685551412E-4</v>
      </c>
      <c r="E2" s="7">
        <f>$B2 * IFERROR(VLOOKUP("industry|NOx|Premature mortality", US_national_yearly!$D:$AM, 13, FALSE) / VLOOKUP("industry|NOx|Premature mortality", US_national_yearly!$D:$AM, 10, FALSE), 1)</f>
        <v>4.0335687834662656E-4</v>
      </c>
      <c r="F2" s="7">
        <f>$B2 * IFERROR(VLOOKUP("industry|NOx|Premature mortality", US_national_yearly!$D:$AM, 14, FALSE) / VLOOKUP("industry|NOx|Premature mortality", US_national_yearly!$D:$AM, 10, FALSE), 1)</f>
        <v>4.0906786983773905E-4</v>
      </c>
      <c r="G2" s="7">
        <f>$B2 * IFERROR(VLOOKUP("industry|NOx|Premature mortality", US_national_yearly!$D:$AM, 15, FALSE) / VLOOKUP("industry|NOx|Premature mortality", US_national_yearly!$D:$AM, 10, FALSE), 1)</f>
        <v>4.1930981624762297E-4</v>
      </c>
      <c r="H2" s="7">
        <f>$B2 * IFERROR(VLOOKUP("industry|NOx|Premature mortality", US_national_yearly!$D:$AM, 16, FALSE) / VLOOKUP("industry|NOx|Premature mortality", US_national_yearly!$D:$AM, 10, FALSE), 1)</f>
        <v>4.2955176265750683E-4</v>
      </c>
      <c r="I2" s="7">
        <f>$B2 * IFERROR(VLOOKUP("industry|NOx|Premature mortality", US_national_yearly!$D:$AM, 17, FALSE) / VLOOKUP("industry|NOx|Premature mortality", US_national_yearly!$D:$AM, 10, FALSE), 1)</f>
        <v>4.3619605791950504E-4</v>
      </c>
      <c r="J2" s="7">
        <f>$B2 * IFERROR(VLOOKUP("industry|NOx|Premature mortality", US_national_yearly!$D:$AM, 18, FALSE) / VLOOKUP("industry|NOx|Premature mortality", US_national_yearly!$D:$AM, 10, FALSE), 1)</f>
        <v>4.428403531815032E-4</v>
      </c>
      <c r="K2" s="7">
        <f>$B2 * IFERROR(VLOOKUP("industry|NOx|Premature mortality", US_national_yearly!$D:$AM, 19, FALSE) / VLOOKUP("industry|NOx|Premature mortality", US_national_yearly!$D:$AM, 10, FALSE), 1)</f>
        <v>4.4948464844350147E-4</v>
      </c>
      <c r="L2" s="7">
        <f>$B2 * IFERROR(VLOOKUP("industry|NOx|Premature mortality", US_national_yearly!$D:$AM, 20, FALSE) / VLOOKUP("industry|NOx|Premature mortality", US_national_yearly!$D:$AM, 10, FALSE), 1)</f>
        <v>4.5612894370549968E-4</v>
      </c>
      <c r="M2" s="7">
        <f>$B2 * IFERROR(VLOOKUP("industry|NOx|Premature mortality", US_national_yearly!$D:$AM, 21, FALSE) / VLOOKUP("industry|NOx|Premature mortality", US_national_yearly!$D:$AM, 10, FALSE), 1)</f>
        <v>4.6277323896749784E-4</v>
      </c>
      <c r="N2" s="7">
        <f>$B2 * IFERROR(VLOOKUP("industry|NOx|Premature mortality", US_national_yearly!$D:$AM, 22, FALSE) / VLOOKUP("industry|NOx|Premature mortality", US_national_yearly!$D:$AM, 10, FALSE), 1)</f>
        <v>4.6771746165948303E-4</v>
      </c>
      <c r="O2" s="7">
        <f>$B2 * IFERROR(VLOOKUP("industry|NOx|Premature mortality", US_national_yearly!$D:$AM, 23, FALSE) / VLOOKUP("industry|NOx|Premature mortality", US_national_yearly!$D:$AM, 10, FALSE), 1)</f>
        <v>4.7266168435146816E-4</v>
      </c>
      <c r="P2" s="7">
        <f>$B2 * IFERROR(VLOOKUP("industry|NOx|Premature mortality", US_national_yearly!$D:$AM, 24, FALSE) / VLOOKUP("industry|NOx|Premature mortality", US_national_yearly!$D:$AM, 10, FALSE), 1)</f>
        <v>4.7760590704345324E-4</v>
      </c>
      <c r="Q2" s="7">
        <f>$B2 * IFERROR(VLOOKUP("industry|NOx|Premature mortality", US_national_yearly!$D:$AM, 25, FALSE) / VLOOKUP("industry|NOx|Premature mortality", US_national_yearly!$D:$AM, 10, FALSE), 1)</f>
        <v>4.8255012973543837E-4</v>
      </c>
      <c r="R2" s="7">
        <f>$B2 * IFERROR(VLOOKUP("industry|NOx|Premature mortality", US_national_yearly!$D:$AM, 26, FALSE) / VLOOKUP("industry|NOx|Premature mortality", US_national_yearly!$D:$AM, 10, FALSE), 1)</f>
        <v>4.874943524274235E-4</v>
      </c>
      <c r="S2" s="7">
        <f>$B2 * IFERROR(VLOOKUP("industry|NOx|Premature mortality", US_national_yearly!$D:$AM, 27, FALSE) / VLOOKUP("industry|NOx|Premature mortality", US_national_yearly!$D:$AM, 10, FALSE), 1)</f>
        <v>4.8979668101760128E-4</v>
      </c>
      <c r="T2" s="7">
        <f>$B2 * IFERROR(VLOOKUP("industry|NOx|Premature mortality", US_national_yearly!$D:$AM, 28, FALSE) / VLOOKUP("industry|NOx|Premature mortality", US_national_yearly!$D:$AM, 10, FALSE), 1)</f>
        <v>4.9209900960777895E-4</v>
      </c>
      <c r="U2" s="7">
        <f>$B2 * IFERROR(VLOOKUP("industry|NOx|Premature mortality", US_national_yearly!$D:$AM, 29, FALSE) / VLOOKUP("industry|NOx|Premature mortality", US_national_yearly!$D:$AM, 10, FALSE), 1)</f>
        <v>4.9440133819795673E-4</v>
      </c>
      <c r="V2" s="7">
        <f>$B2 * IFERROR(VLOOKUP("industry|NOx|Premature mortality", US_national_yearly!$D:$AM, 30, FALSE) / VLOOKUP("industry|NOx|Premature mortality", US_national_yearly!$D:$AM, 10, FALSE), 1)</f>
        <v>4.967036667881344E-4</v>
      </c>
      <c r="W2" s="7">
        <f>$B2 * IFERROR(VLOOKUP("industry|NOx|Premature mortality", US_national_yearly!$D:$AM, 31, FALSE) / VLOOKUP("industry|NOx|Premature mortality", US_national_yearly!$D:$AM, 10, FALSE), 1)</f>
        <v>4.9900599537831207E-4</v>
      </c>
      <c r="X2" s="7">
        <f>$B2 * IFERROR(VLOOKUP("industry|NOx|Premature mortality", US_national_yearly!$D:$AM, 32, FALSE) / VLOOKUP("industry|NOx|Premature mortality", US_national_yearly!$D:$AM, 10, FALSE), 1)</f>
        <v>4.9918194669242607E-4</v>
      </c>
      <c r="Y2" s="7">
        <f>$B2 * IFERROR(VLOOKUP("industry|NOx|Premature mortality", US_national_yearly!$D:$AM, 33, FALSE) / VLOOKUP("industry|NOx|Premature mortality", US_national_yearly!$D:$AM, 10, FALSE), 1)</f>
        <v>4.9935789800654008E-4</v>
      </c>
      <c r="Z2" s="7">
        <f>$B2 * IFERROR(VLOOKUP("industry|NOx|Premature mortality", US_national_yearly!$D:$AM, 34, FALSE) / VLOOKUP("industry|NOx|Premature mortality", US_national_yearly!$D:$AM, 10, FALSE), 1)</f>
        <v>4.9953384932065409E-4</v>
      </c>
      <c r="AA2" s="7">
        <f>$B2 * IFERROR(VLOOKUP("industry|NOx|Premature mortality", US_national_yearly!$D:$AM, 35, FALSE) / VLOOKUP("industry|NOx|Premature mortality", US_national_yearly!$D:$AM, 10, FALSE), 1)</f>
        <v>4.997098006347681E-4</v>
      </c>
      <c r="AB2" s="7">
        <f>$B2 * IFERROR(VLOOKUP("industry|NOx|Premature mortality", US_national_yearly!$D:$AM, 36, FALSE) / VLOOKUP("industry|NOx|Premature mortality", US_national_yearly!$D:$AM, 10, FALSE), 1)</f>
        <v>4.9988575194888211E-4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9.8743750248330403E-7</v>
      </c>
      <c r="C3" s="7">
        <f>$B3 * IFERROR(VLOOKUP("industry|NOx|Infant mortality", US_national_yearly!$D:$AM, 11, FALSE) / VLOOKUP("industry|NOx|Infant mortality", US_national_yearly!$D:$AM, 10, FALSE), 1)</f>
        <v>9.7798097899892462E-7</v>
      </c>
      <c r="D3" s="7">
        <f>$B3 * IFERROR(VLOOKUP("industry|NOx|Infant mortality", US_national_yearly!$D:$AM, 12, FALSE) / VLOOKUP("industry|NOx|Infant mortality", US_national_yearly!$D:$AM, 10, FALSE), 1)</f>
        <v>9.6852445551454499E-7</v>
      </c>
      <c r="E3" s="7">
        <f>$B3 * IFERROR(VLOOKUP("industry|NOx|Infant mortality", US_national_yearly!$D:$AM, 13, FALSE) / VLOOKUP("industry|NOx|Infant mortality", US_national_yearly!$D:$AM, 10, FALSE), 1)</f>
        <v>9.5906793203016558E-7</v>
      </c>
      <c r="F3" s="7">
        <f>$B3 * IFERROR(VLOOKUP("industry|NOx|Infant mortality", US_national_yearly!$D:$AM, 14, FALSE) / VLOOKUP("industry|NOx|Infant mortality", US_national_yearly!$D:$AM, 10, FALSE), 1)</f>
        <v>9.4961140854578596E-7</v>
      </c>
      <c r="G3" s="7">
        <f>$B3 * IFERROR(VLOOKUP("industry|NOx|Infant mortality", US_national_yearly!$D:$AM, 15, FALSE) / VLOOKUP("industry|NOx|Infant mortality", US_national_yearly!$D:$AM, 10, FALSE), 1)</f>
        <v>6.2986607567674043E-7</v>
      </c>
      <c r="H3" s="7">
        <f>$B3 * IFERROR(VLOOKUP("industry|NOx|Infant mortality", US_national_yearly!$D:$AM, 16, FALSE) / VLOOKUP("industry|NOx|Infant mortality", US_national_yearly!$D:$AM, 10, FALSE), 1)</f>
        <v>3.1012074280769496E-7</v>
      </c>
      <c r="I3" s="7">
        <f>$B3 * IFERROR(VLOOKUP("industry|NOx|Infant mortality", US_national_yearly!$D:$AM, 17, FALSE) / VLOOKUP("industry|NOx|Infant mortality", US_national_yearly!$D:$AM, 10, FALSE), 1)</f>
        <v>3.0788490615072664E-7</v>
      </c>
      <c r="J3" s="7">
        <f>$B3 * IFERROR(VLOOKUP("industry|NOx|Infant mortality", US_national_yearly!$D:$AM, 18, FALSE) / VLOOKUP("industry|NOx|Infant mortality", US_national_yearly!$D:$AM, 10, FALSE), 1)</f>
        <v>3.0564906949375832E-7</v>
      </c>
      <c r="K3" s="7">
        <f>$B3 * IFERROR(VLOOKUP("industry|NOx|Infant mortality", US_national_yearly!$D:$AM, 19, FALSE) / VLOOKUP("industry|NOx|Infant mortality", US_national_yearly!$D:$AM, 10, FALSE), 1)</f>
        <v>3.0341323283679E-7</v>
      </c>
      <c r="L3" s="7">
        <f>$B3 * IFERROR(VLOOKUP("industry|NOx|Infant mortality", US_national_yearly!$D:$AM, 20, FALSE) / VLOOKUP("industry|NOx|Infant mortality", US_national_yearly!$D:$AM, 10, FALSE), 1)</f>
        <v>3.0117739617982163E-7</v>
      </c>
      <c r="M3" s="7">
        <f>$B3 * IFERROR(VLOOKUP("industry|NOx|Infant mortality", US_national_yearly!$D:$AM, 21, FALSE) / VLOOKUP("industry|NOx|Infant mortality", US_national_yearly!$D:$AM, 10, FALSE), 1)</f>
        <v>2.9894155952285326E-7</v>
      </c>
      <c r="N3" s="7">
        <f>$B3 * IFERROR(VLOOKUP("industry|NOx|Infant mortality", US_national_yearly!$D:$AM, 22, FALSE) / VLOOKUP("industry|NOx|Infant mortality", US_national_yearly!$D:$AM, 10, FALSE), 1)</f>
        <v>2.9743515363518629E-7</v>
      </c>
      <c r="O3" s="7">
        <f>$B3 * IFERROR(VLOOKUP("industry|NOx|Infant mortality", US_national_yearly!$D:$AM, 23, FALSE) / VLOOKUP("industry|NOx|Infant mortality", US_national_yearly!$D:$AM, 10, FALSE), 1)</f>
        <v>2.9592874774751921E-7</v>
      </c>
      <c r="P3" s="7">
        <f>$B3 * IFERROR(VLOOKUP("industry|NOx|Infant mortality", US_national_yearly!$D:$AM, 24, FALSE) / VLOOKUP("industry|NOx|Infant mortality", US_national_yearly!$D:$AM, 10, FALSE), 1)</f>
        <v>2.9442234185985224E-7</v>
      </c>
      <c r="Q3" s="7">
        <f>$B3 * IFERROR(VLOOKUP("industry|NOx|Infant mortality", US_national_yearly!$D:$AM, 25, FALSE) / VLOOKUP("industry|NOx|Infant mortality", US_national_yearly!$D:$AM, 10, FALSE), 1)</f>
        <v>2.9291593597218527E-7</v>
      </c>
      <c r="R3" s="7">
        <f>$B3 * IFERROR(VLOOKUP("industry|NOx|Infant mortality", US_national_yearly!$D:$AM, 26, FALSE) / VLOOKUP("industry|NOx|Infant mortality", US_national_yearly!$D:$AM, 10, FALSE), 1)</f>
        <v>2.9140953008451825E-7</v>
      </c>
      <c r="S3" s="7">
        <f>$B3 * IFERROR(VLOOKUP("industry|NOx|Infant mortality", US_national_yearly!$D:$AM, 27, FALSE) / VLOOKUP("industry|NOx|Infant mortality", US_national_yearly!$D:$AM, 10, FALSE), 1)</f>
        <v>2.8962070002455206E-7</v>
      </c>
      <c r="T3" s="7">
        <f>$B3 * IFERROR(VLOOKUP("industry|NOx|Infant mortality", US_national_yearly!$D:$AM, 28, FALSE) / VLOOKUP("industry|NOx|Infant mortality", US_national_yearly!$D:$AM, 10, FALSE), 1)</f>
        <v>2.8783186996458588E-7</v>
      </c>
      <c r="U3" s="7">
        <f>$B3 * IFERROR(VLOOKUP("industry|NOx|Infant mortality", US_national_yearly!$D:$AM, 29, FALSE) / VLOOKUP("industry|NOx|Infant mortality", US_national_yearly!$D:$AM, 10, FALSE), 1)</f>
        <v>2.8604303990461965E-7</v>
      </c>
      <c r="V3" s="7">
        <f>$B3 * IFERROR(VLOOKUP("industry|NOx|Infant mortality", US_national_yearly!$D:$AM, 30, FALSE) / VLOOKUP("industry|NOx|Infant mortality", US_national_yearly!$D:$AM, 10, FALSE), 1)</f>
        <v>2.8425420984465346E-7</v>
      </c>
      <c r="W3" s="7">
        <f>$B3 * IFERROR(VLOOKUP("industry|NOx|Infant mortality", US_national_yearly!$D:$AM, 31, FALSE) / VLOOKUP("industry|NOx|Infant mortality", US_national_yearly!$D:$AM, 10, FALSE), 1)</f>
        <v>2.8246537978468733E-7</v>
      </c>
      <c r="X3" s="7">
        <f>$B3 * IFERROR(VLOOKUP("industry|NOx|Infant mortality", US_national_yearly!$D:$AM, 32, FALSE) / VLOOKUP("industry|NOx|Infant mortality", US_national_yearly!$D:$AM, 10, FALSE), 1)</f>
        <v>2.8058691014802029E-7</v>
      </c>
      <c r="Y3" s="7">
        <f>$B3 * IFERROR(VLOOKUP("industry|NOx|Infant mortality", US_national_yearly!$D:$AM, 33, FALSE) / VLOOKUP("industry|NOx|Infant mortality", US_national_yearly!$D:$AM, 10, FALSE), 1)</f>
        <v>2.7870844051135331E-7</v>
      </c>
      <c r="Z3" s="7">
        <f>$B3 * IFERROR(VLOOKUP("industry|NOx|Infant mortality", US_national_yearly!$D:$AM, 34, FALSE) / VLOOKUP("industry|NOx|Infant mortality", US_national_yearly!$D:$AM, 10, FALSE), 1)</f>
        <v>2.7682997087468632E-7</v>
      </c>
      <c r="AA3" s="7">
        <f>$B3 * IFERROR(VLOOKUP("industry|NOx|Infant mortality", US_national_yearly!$D:$AM, 35, FALSE) / VLOOKUP("industry|NOx|Infant mortality", US_national_yearly!$D:$AM, 10, FALSE), 1)</f>
        <v>2.7495150123801933E-7</v>
      </c>
      <c r="AB3" s="7">
        <f>$B3 * IFERROR(VLOOKUP("industry|NOx|Infant mortality", US_national_yearly!$D:$AM, 36, FALSE) / VLOOKUP("industry|NOx|Infant mortality", US_national_yearly!$D:$AM, 10, FALSE), 1)</f>
        <v>2.7307303160135234E-7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1.1687446001744128E-3</v>
      </c>
      <c r="C6" s="7">
        <f>$B6 * IFERROR(VLOOKUP("industry|NOx|Asthma symptoms cough", US_national_yearly!$D:$AM, 11, FALSE) / VLOOKUP("industry|NOx|Asthma symptoms cough", US_national_yearly!$D:$AM, 10, FALSE), 1)</f>
        <v>1.1847334228809198E-3</v>
      </c>
      <c r="D6" s="7">
        <f>$B6 * IFERROR(VLOOKUP("industry|NOx|Asthma symptoms cough", US_national_yearly!$D:$AM, 12, FALSE) / VLOOKUP("industry|NOx|Asthma symptoms cough", US_national_yearly!$D:$AM, 10, FALSE), 1)</f>
        <v>1.2007222455874269E-3</v>
      </c>
      <c r="E6" s="7">
        <f>$B6 * IFERROR(VLOOKUP("industry|NOx|Asthma symptoms cough", US_national_yearly!$D:$AM, 13, FALSE) / VLOOKUP("industry|NOx|Asthma symptoms cough", US_national_yearly!$D:$AM, 10, FALSE), 1)</f>
        <v>1.2167110682939338E-3</v>
      </c>
      <c r="F6" s="7">
        <f>$B6 * IFERROR(VLOOKUP("industry|NOx|Asthma symptoms cough", US_national_yearly!$D:$AM, 14, FALSE) / VLOOKUP("industry|NOx|Asthma symptoms cough", US_national_yearly!$D:$AM, 10, FALSE), 1)</f>
        <v>1.2326998910004408E-3</v>
      </c>
      <c r="G6" s="7">
        <f>$B6 * IFERROR(VLOOKUP("industry|NOx|Asthma symptoms cough", US_national_yearly!$D:$AM, 15, FALSE) / VLOOKUP("industry|NOx|Asthma symptoms cough", US_national_yearly!$D:$AM, 10, FALSE), 1)</f>
        <v>1.2455204463458986E-3</v>
      </c>
      <c r="H6" s="7">
        <f>$B6 * IFERROR(VLOOKUP("industry|NOx|Asthma symptoms cough", US_national_yearly!$D:$AM, 16, FALSE) / VLOOKUP("industry|NOx|Asthma symptoms cough", US_national_yearly!$D:$AM, 10, FALSE), 1)</f>
        <v>1.2583410016913565E-3</v>
      </c>
      <c r="I6" s="7">
        <f>$B6 * IFERROR(VLOOKUP("industry|NOx|Asthma symptoms cough", US_national_yearly!$D:$AM, 17, FALSE) / VLOOKUP("industry|NOx|Asthma symptoms cough", US_national_yearly!$D:$AM, 10, FALSE), 1)</f>
        <v>1.2628026686066565E-3</v>
      </c>
      <c r="J6" s="7">
        <f>$B6 * IFERROR(VLOOKUP("industry|NOx|Asthma symptoms cough", US_national_yearly!$D:$AM, 18, FALSE) / VLOOKUP("industry|NOx|Asthma symptoms cough", US_national_yearly!$D:$AM, 10, FALSE), 1)</f>
        <v>1.2672643355219567E-3</v>
      </c>
      <c r="K6" s="7">
        <f>$B6 * IFERROR(VLOOKUP("industry|NOx|Asthma symptoms cough", US_national_yearly!$D:$AM, 19, FALSE) / VLOOKUP("industry|NOx|Asthma symptoms cough", US_national_yearly!$D:$AM, 10, FALSE), 1)</f>
        <v>1.2717260024372567E-3</v>
      </c>
      <c r="L6" s="7">
        <f>$B6 * IFERROR(VLOOKUP("industry|NOx|Asthma symptoms cough", US_national_yearly!$D:$AM, 20, FALSE) / VLOOKUP("industry|NOx|Asthma symptoms cough", US_national_yearly!$D:$AM, 10, FALSE), 1)</f>
        <v>1.2761876693525569E-3</v>
      </c>
      <c r="M6" s="7">
        <f>$B6 * IFERROR(VLOOKUP("industry|NOx|Asthma symptoms cough", US_national_yearly!$D:$AM, 21, FALSE) / VLOOKUP("industry|NOx|Asthma symptoms cough", US_national_yearly!$D:$AM, 10, FALSE), 1)</f>
        <v>1.2806493362678571E-3</v>
      </c>
      <c r="N6" s="7">
        <f>$B6 * IFERROR(VLOOKUP("industry|NOx|Asthma symptoms cough", US_national_yearly!$D:$AM, 22, FALSE) / VLOOKUP("industry|NOx|Asthma symptoms cough", US_national_yearly!$D:$AM, 10, FALSE), 1)</f>
        <v>1.2857424508492575E-3</v>
      </c>
      <c r="O6" s="7">
        <f>$B6 * IFERROR(VLOOKUP("industry|NOx|Asthma symptoms cough", US_national_yearly!$D:$AM, 23, FALSE) / VLOOKUP("industry|NOx|Asthma symptoms cough", US_national_yearly!$D:$AM, 10, FALSE), 1)</f>
        <v>1.2908355654306575E-3</v>
      </c>
      <c r="P6" s="7">
        <f>$B6 * IFERROR(VLOOKUP("industry|NOx|Asthma symptoms cough", US_national_yearly!$D:$AM, 24, FALSE) / VLOOKUP("industry|NOx|Asthma symptoms cough", US_national_yearly!$D:$AM, 10, FALSE), 1)</f>
        <v>1.295928680012058E-3</v>
      </c>
      <c r="Q6" s="7">
        <f>$B6 * IFERROR(VLOOKUP("industry|NOx|Asthma symptoms cough", US_national_yearly!$D:$AM, 25, FALSE) / VLOOKUP("industry|NOx|Asthma symptoms cough", US_national_yearly!$D:$AM, 10, FALSE), 1)</f>
        <v>1.3010217945934584E-3</v>
      </c>
      <c r="R6" s="7">
        <f>$B6 * IFERROR(VLOOKUP("industry|NOx|Asthma symptoms cough", US_national_yearly!$D:$AM, 26, FALSE) / VLOOKUP("industry|NOx|Asthma symptoms cough", US_national_yearly!$D:$AM, 10, FALSE), 1)</f>
        <v>1.3061149091748588E-3</v>
      </c>
      <c r="S6" s="7">
        <f>$B6 * IFERROR(VLOOKUP("industry|NOx|Asthma symptoms cough", US_national_yearly!$D:$AM, 27, FALSE) / VLOOKUP("industry|NOx|Asthma symptoms cough", US_national_yearly!$D:$AM, 10, FALSE), 1)</f>
        <v>1.3126848016348691E-3</v>
      </c>
      <c r="T6" s="7">
        <f>$B6 * IFERROR(VLOOKUP("industry|NOx|Asthma symptoms cough", US_national_yearly!$D:$AM, 28, FALSE) / VLOOKUP("industry|NOx|Asthma symptoms cough", US_national_yearly!$D:$AM, 10, FALSE), 1)</f>
        <v>1.3192546940948792E-3</v>
      </c>
      <c r="U6" s="7">
        <f>$B6 * IFERROR(VLOOKUP("industry|NOx|Asthma symptoms cough", US_national_yearly!$D:$AM, 29, FALSE) / VLOOKUP("industry|NOx|Asthma symptoms cough", US_national_yearly!$D:$AM, 10, FALSE), 1)</f>
        <v>1.3258245865548895E-3</v>
      </c>
      <c r="V6" s="7">
        <f>$B6 * IFERROR(VLOOKUP("industry|NOx|Asthma symptoms cough", US_national_yearly!$D:$AM, 30, FALSE) / VLOOKUP("industry|NOx|Asthma symptoms cough", US_national_yearly!$D:$AM, 10, FALSE), 1)</f>
        <v>1.3323944790148993E-3</v>
      </c>
      <c r="W6" s="7">
        <f>$B6 * IFERROR(VLOOKUP("industry|NOx|Asthma symptoms cough", US_national_yearly!$D:$AM, 31, FALSE) / VLOOKUP("industry|NOx|Asthma symptoms cough", US_national_yearly!$D:$AM, 10, FALSE), 1)</f>
        <v>1.3389643714749099E-3</v>
      </c>
      <c r="X6" s="7">
        <f>$B6 * IFERROR(VLOOKUP("industry|NOx|Asthma symptoms cough", US_national_yearly!$D:$AM, 32, FALSE) / VLOOKUP("industry|NOx|Asthma symptoms cough", US_national_yearly!$D:$AM, 10, FALSE), 1)</f>
        <v>1.3450551670009863E-3</v>
      </c>
      <c r="Y6" s="7">
        <f>$B6 * IFERROR(VLOOKUP("industry|NOx|Asthma symptoms cough", US_national_yearly!$D:$AM, 33, FALSE) / VLOOKUP("industry|NOx|Asthma symptoms cough", US_national_yearly!$D:$AM, 10, FALSE), 1)</f>
        <v>1.3511459625270628E-3</v>
      </c>
      <c r="Z6" s="7">
        <f>$B6 * IFERROR(VLOOKUP("industry|NOx|Asthma symptoms cough", US_national_yearly!$D:$AM, 34, FALSE) / VLOOKUP("industry|NOx|Asthma symptoms cough", US_national_yearly!$D:$AM, 10, FALSE), 1)</f>
        <v>1.3572367580531395E-3</v>
      </c>
      <c r="AA6" s="7">
        <f>$B6 * IFERROR(VLOOKUP("industry|NOx|Asthma symptoms cough", US_national_yearly!$D:$AM, 35, FALSE) / VLOOKUP("industry|NOx|Asthma symptoms cough", US_national_yearly!$D:$AM, 10, FALSE), 1)</f>
        <v>1.3633275535792158E-3</v>
      </c>
      <c r="AB6" s="7">
        <f>$B6 * IFERROR(VLOOKUP("industry|NOx|Asthma symptoms cough", US_national_yearly!$D:$AM, 36, FALSE) / VLOOKUP("industry|NOx|Asthma symptoms cough", US_national_yearly!$D:$AM, 10, FALSE), 1)</f>
        <v>1.3694183491052925E-3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1.5738737993722448E-3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1.595404926945779E-3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1.6169360545193131E-3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1.6384671820928473E-3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1.6599983096663819E-3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1.6772629336688906E-3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1.6945275576713992E-3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1.7005357998193971E-3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1.706544041967395E-3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1.7125522841153929E-3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1.7185605262633914E-3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1.7245687684113891E-3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1.7314273408594128E-3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1.7382859133074364E-3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1.7451444857554603E-3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1.7520030582034842E-3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1.7588616306515076E-3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1.767708885681524E-3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1.7765561407115408E-3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1.7854033957415572E-3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1.7942506507715738E-3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1.8030979058015898E-3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1.8112999915462849E-3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1.8195020772909796E-3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1.8277041630356742E-3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1.8359062487803689E-3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1.8441083345250636E-3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2.404649505445593E-3</v>
      </c>
      <c r="C8" s="7">
        <f>$B8 * IFERROR(VLOOKUP("industry|NOx|Asthma symptoms wheeze", US_national_yearly!$D:$AM, 11, FALSE) / VLOOKUP("industry|NOx|Asthma symptoms wheeze", US_national_yearly!$D:$AM, 10, FALSE), 1)</f>
        <v>2.4375459266432328E-3</v>
      </c>
      <c r="D8" s="7">
        <f>$B8 * IFERROR(VLOOKUP("industry|NOx|Asthma symptoms wheeze", US_national_yearly!$D:$AM, 12, FALSE) / VLOOKUP("industry|NOx|Asthma symptoms wheeze", US_national_yearly!$D:$AM, 10, FALSE), 1)</f>
        <v>2.4704423478408722E-3</v>
      </c>
      <c r="E8" s="7">
        <f>$B8 * IFERROR(VLOOKUP("industry|NOx|Asthma symptoms wheeze", US_national_yearly!$D:$AM, 13, FALSE) / VLOOKUP("industry|NOx|Asthma symptoms wheeze", US_national_yearly!$D:$AM, 10, FALSE), 1)</f>
        <v>2.503338769038512E-3</v>
      </c>
      <c r="F8" s="7">
        <f>$B8 * IFERROR(VLOOKUP("industry|NOx|Asthma symptoms wheeze", US_national_yearly!$D:$AM, 14, FALSE) / VLOOKUP("industry|NOx|Asthma symptoms wheeze", US_national_yearly!$D:$AM, 10, FALSE), 1)</f>
        <v>2.536235190236151E-3</v>
      </c>
      <c r="G8" s="7">
        <f>$B8 * IFERROR(VLOOKUP("industry|NOx|Asthma symptoms wheeze", US_national_yearly!$D:$AM, 15, FALSE) / VLOOKUP("industry|NOx|Asthma symptoms wheeze", US_national_yearly!$D:$AM, 10, FALSE), 1)</f>
        <v>2.562613016576485E-3</v>
      </c>
      <c r="H8" s="7">
        <f>$B8 * IFERROR(VLOOKUP("industry|NOx|Asthma symptoms wheeze", US_national_yearly!$D:$AM, 16, FALSE) / VLOOKUP("industry|NOx|Asthma symptoms wheeze", US_national_yearly!$D:$AM, 10, FALSE), 1)</f>
        <v>2.5889908429168177E-3</v>
      </c>
      <c r="I8" s="7">
        <f>$B8 * IFERROR(VLOOKUP("industry|NOx|Asthma symptoms wheeze", US_national_yearly!$D:$AM, 17, FALSE) / VLOOKUP("industry|NOx|Asthma symptoms wheeze", US_national_yearly!$D:$AM, 10, FALSE), 1)</f>
        <v>2.5981705603321664E-3</v>
      </c>
      <c r="J8" s="7">
        <f>$B8 * IFERROR(VLOOKUP("industry|NOx|Asthma symptoms wheeze", US_national_yearly!$D:$AM, 18, FALSE) / VLOOKUP("industry|NOx|Asthma symptoms wheeze", US_national_yearly!$D:$AM, 10, FALSE), 1)</f>
        <v>2.6073502777475151E-3</v>
      </c>
      <c r="K8" s="7">
        <f>$B8 * IFERROR(VLOOKUP("industry|NOx|Asthma symptoms wheeze", US_national_yearly!$D:$AM, 19, FALSE) / VLOOKUP("industry|NOx|Asthma symptoms wheeze", US_national_yearly!$D:$AM, 10, FALSE), 1)</f>
        <v>2.6165299951628638E-3</v>
      </c>
      <c r="L8" s="7">
        <f>$B8 * IFERROR(VLOOKUP("industry|NOx|Asthma symptoms wheeze", US_national_yearly!$D:$AM, 20, FALSE) / VLOOKUP("industry|NOx|Asthma symptoms wheeze", US_national_yearly!$D:$AM, 10, FALSE), 1)</f>
        <v>2.6257097125782117E-3</v>
      </c>
      <c r="M8" s="7">
        <f>$B8 * IFERROR(VLOOKUP("industry|NOx|Asthma symptoms wheeze", US_national_yearly!$D:$AM, 21, FALSE) / VLOOKUP("industry|NOx|Asthma symptoms wheeze", US_national_yearly!$D:$AM, 10, FALSE), 1)</f>
        <v>2.6348894299935604E-3</v>
      </c>
      <c r="N8" s="7">
        <f>$B8 * IFERROR(VLOOKUP("industry|NOx|Asthma symptoms wheeze", US_national_yearly!$D:$AM, 22, FALSE) / VLOOKUP("industry|NOx|Asthma symptoms wheeze", US_national_yearly!$D:$AM, 10, FALSE), 1)</f>
        <v>2.6453683280150955E-3</v>
      </c>
      <c r="O8" s="7">
        <f>$B8 * IFERROR(VLOOKUP("industry|NOx|Asthma symptoms wheeze", US_national_yearly!$D:$AM, 23, FALSE) / VLOOKUP("industry|NOx|Asthma symptoms wheeze", US_national_yearly!$D:$AM, 10, FALSE), 1)</f>
        <v>2.6558472260366302E-3</v>
      </c>
      <c r="P8" s="7">
        <f>$B8 * IFERROR(VLOOKUP("industry|NOx|Asthma symptoms wheeze", US_national_yearly!$D:$AM, 24, FALSE) / VLOOKUP("industry|NOx|Asthma symptoms wheeze", US_national_yearly!$D:$AM, 10, FALSE), 1)</f>
        <v>2.6663261240581645E-3</v>
      </c>
      <c r="Q8" s="7">
        <f>$B8 * IFERROR(VLOOKUP("industry|NOx|Asthma symptoms wheeze", US_national_yearly!$D:$AM, 25, FALSE) / VLOOKUP("industry|NOx|Asthma symptoms wheeze", US_national_yearly!$D:$AM, 10, FALSE), 1)</f>
        <v>2.6768050220796992E-3</v>
      </c>
      <c r="R8" s="7">
        <f>$B8 * IFERROR(VLOOKUP("industry|NOx|Asthma symptoms wheeze", US_national_yearly!$D:$AM, 26, FALSE) / VLOOKUP("industry|NOx|Asthma symptoms wheeze", US_national_yearly!$D:$AM, 10, FALSE), 1)</f>
        <v>2.6872839201012343E-3</v>
      </c>
      <c r="S8" s="7">
        <f>$B8 * IFERROR(VLOOKUP("industry|NOx|Asthma symptoms wheeze", US_national_yearly!$D:$AM, 27, FALSE) / VLOOKUP("industry|NOx|Asthma symptoms wheeze", US_national_yearly!$D:$AM, 10, FALSE), 1)</f>
        <v>2.7008012348950783E-3</v>
      </c>
      <c r="T8" s="7">
        <f>$B8 * IFERROR(VLOOKUP("industry|NOx|Asthma symptoms wheeze", US_national_yearly!$D:$AM, 28, FALSE) / VLOOKUP("industry|NOx|Asthma symptoms wheeze", US_national_yearly!$D:$AM, 10, FALSE), 1)</f>
        <v>2.7143185496889223E-3</v>
      </c>
      <c r="U8" s="7">
        <f>$B8 * IFERROR(VLOOKUP("industry|NOx|Asthma symptoms wheeze", US_national_yearly!$D:$AM, 29, FALSE) / VLOOKUP("industry|NOx|Asthma symptoms wheeze", US_national_yearly!$D:$AM, 10, FALSE), 1)</f>
        <v>2.7278358644827658E-3</v>
      </c>
      <c r="V8" s="7">
        <f>$B8 * IFERROR(VLOOKUP("industry|NOx|Asthma symptoms wheeze", US_national_yearly!$D:$AM, 30, FALSE) / VLOOKUP("industry|NOx|Asthma symptoms wheeze", US_national_yearly!$D:$AM, 10, FALSE), 1)</f>
        <v>2.7413531792766094E-3</v>
      </c>
      <c r="W8" s="7">
        <f>$B8 * IFERROR(VLOOKUP("industry|NOx|Asthma symptoms wheeze", US_national_yearly!$D:$AM, 31, FALSE) / VLOOKUP("industry|NOx|Asthma symptoms wheeze", US_national_yearly!$D:$AM, 10, FALSE), 1)</f>
        <v>2.7548704940704534E-3</v>
      </c>
      <c r="X8" s="7">
        <f>$B8 * IFERROR(VLOOKUP("industry|NOx|Asthma symptoms wheeze", US_national_yearly!$D:$AM, 32, FALSE) / VLOOKUP("industry|NOx|Asthma symptoms wheeze", US_national_yearly!$D:$AM, 10, FALSE), 1)</f>
        <v>2.7674020843469734E-3</v>
      </c>
      <c r="Y8" s="7">
        <f>$B8 * IFERROR(VLOOKUP("industry|NOx|Asthma symptoms wheeze", US_national_yearly!$D:$AM, 33, FALSE) / VLOOKUP("industry|NOx|Asthma symptoms wheeze", US_national_yearly!$D:$AM, 10, FALSE), 1)</f>
        <v>2.779933674623493E-3</v>
      </c>
      <c r="Z8" s="7">
        <f>$B8 * IFERROR(VLOOKUP("industry|NOx|Asthma symptoms wheeze", US_national_yearly!$D:$AM, 34, FALSE) / VLOOKUP("industry|NOx|Asthma symptoms wheeze", US_national_yearly!$D:$AM, 10, FALSE), 1)</f>
        <v>2.792465264900013E-3</v>
      </c>
      <c r="AA8" s="7">
        <f>$B8 * IFERROR(VLOOKUP("industry|NOx|Asthma symptoms wheeze", US_national_yearly!$D:$AM, 35, FALSE) / VLOOKUP("industry|NOx|Asthma symptoms wheeze", US_national_yearly!$D:$AM, 10, FALSE), 1)</f>
        <v>2.8049968551765322E-3</v>
      </c>
      <c r="AB8" s="7">
        <f>$B8 * IFERROR(VLOOKUP("industry|NOx|Asthma symptoms wheeze", US_national_yearly!$D:$AM, 36, FALSE) / VLOOKUP("industry|NOx|Asthma symptoms wheeze", US_national_yearly!$D:$AM, 10, FALSE), 1)</f>
        <v>2.8175284454530539E-3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2.5465833119077999E-5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2.6105619215687045E-5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2.6745405312296091E-5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2.7385191408905144E-5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2.8024977505514186E-5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2.8636961356446467E-5</v>
      </c>
      <c r="H12" s="7">
        <f>$B12 * IFERROR(VLOOKUP("industry|NOx|Respiratory hospital admissions", US_national_yearly!$D:$AM, 16, FALSE) / VLOOKUP("industry|NOx|Respiratory hospital admissions", US_national_yearly!$D:$AM, 10, FALSE), 1)</f>
        <v>2.9248945207378748E-5</v>
      </c>
      <c r="I12" s="7">
        <f>$B12 * IFERROR(VLOOKUP("industry|NOx|Respiratory hospital admissions", US_national_yearly!$D:$AM, 17, FALSE) / VLOOKUP("industry|NOx|Respiratory hospital admissions", US_national_yearly!$D:$AM, 10, FALSE), 1)</f>
        <v>2.9770132559031746E-5</v>
      </c>
      <c r="J12" s="7">
        <f>$B12 * IFERROR(VLOOKUP("industry|NOx|Respiratory hospital admissions", US_national_yearly!$D:$AM, 18, FALSE) / VLOOKUP("industry|NOx|Respiratory hospital admissions", US_national_yearly!$D:$AM, 10, FALSE), 1)</f>
        <v>3.0291319910684744E-5</v>
      </c>
      <c r="K12" s="7">
        <f>$B12 * IFERROR(VLOOKUP("industry|NOx|Respiratory hospital admissions", US_national_yearly!$D:$AM, 19, FALSE) / VLOOKUP("industry|NOx|Respiratory hospital admissions", US_national_yearly!$D:$AM, 10, FALSE), 1)</f>
        <v>3.0812507262337748E-5</v>
      </c>
      <c r="L12" s="7">
        <f>$B12 * IFERROR(VLOOKUP("industry|NOx|Respiratory hospital admissions", US_national_yearly!$D:$AM, 20, FALSE) / VLOOKUP("industry|NOx|Respiratory hospital admissions", US_national_yearly!$D:$AM, 10, FALSE), 1)</f>
        <v>3.1333694613990749E-5</v>
      </c>
      <c r="M12" s="7">
        <f>$B12 * IFERROR(VLOOKUP("industry|NOx|Respiratory hospital admissions", US_national_yearly!$D:$AM, 21, FALSE) / VLOOKUP("industry|NOx|Respiratory hospital admissions", US_national_yearly!$D:$AM, 10, FALSE), 1)</f>
        <v>3.185488196564375E-5</v>
      </c>
      <c r="N12" s="7">
        <f>$B12 * IFERROR(VLOOKUP("industry|NOx|Respiratory hospital admissions", US_national_yearly!$D:$AM, 22, FALSE) / VLOOKUP("industry|NOx|Respiratory hospital admissions", US_national_yearly!$D:$AM, 10, FALSE), 1)</f>
        <v>3.2204190583079339E-5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3.2553499200514921E-5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3.290280781795051E-5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3.3252116435386092E-5</v>
      </c>
      <c r="R12" s="7">
        <f>$B12 * IFERROR(VLOOKUP("industry|NOx|Respiratory hospital admissions", US_national_yearly!$D:$AM, 26, FALSE) / VLOOKUP("industry|NOx|Respiratory hospital admissions", US_national_yearly!$D:$AM, 10, FALSE), 1)</f>
        <v>3.3601425052821681E-5</v>
      </c>
      <c r="S12" s="7">
        <f>$B12 * IFERROR(VLOOKUP("industry|NOx|Respiratory hospital admissions", US_national_yearly!$D:$AM, 27, FALSE) / VLOOKUP("industry|NOx|Respiratory hospital admissions", US_national_yearly!$D:$AM, 10, FALSE), 1)</f>
        <v>3.379106928167087E-5</v>
      </c>
      <c r="T12" s="7">
        <f>$B12 * IFERROR(VLOOKUP("industry|NOx|Respiratory hospital admissions", US_national_yearly!$D:$AM, 28, FALSE) / VLOOKUP("industry|NOx|Respiratory hospital admissions", US_national_yearly!$D:$AM, 10, FALSE), 1)</f>
        <v>3.3980713510520059E-5</v>
      </c>
      <c r="U12" s="7">
        <f>$B12 * IFERROR(VLOOKUP("industry|NOx|Respiratory hospital admissions", US_national_yearly!$D:$AM, 29, FALSE) / VLOOKUP("industry|NOx|Respiratory hospital admissions", US_national_yearly!$D:$AM, 10, FALSE), 1)</f>
        <v>3.4170357739369249E-5</v>
      </c>
      <c r="V12" s="7">
        <f>$B12 * IFERROR(VLOOKUP("industry|NOx|Respiratory hospital admissions", US_national_yearly!$D:$AM, 30, FALSE) / VLOOKUP("industry|NOx|Respiratory hospital admissions", US_national_yearly!$D:$AM, 10, FALSE), 1)</f>
        <v>3.4360001968218431E-5</v>
      </c>
      <c r="W12" s="7">
        <f>$B12 * IFERROR(VLOOKUP("industry|NOx|Respiratory hospital admissions", US_national_yearly!$D:$AM, 31, FALSE) / VLOOKUP("industry|NOx|Respiratory hospital admissions", US_national_yearly!$D:$AM, 10, FALSE), 1)</f>
        <v>3.4549646197067627E-5</v>
      </c>
      <c r="X12" s="7">
        <f>$B12 * IFERROR(VLOOKUP("industry|NOx|Respiratory hospital admissions", US_national_yearly!$D:$AM, 32, FALSE) / VLOOKUP("industry|NOx|Respiratory hospital admissions", US_national_yearly!$D:$AM, 10, FALSE), 1)</f>
        <v>3.468187783572945E-5</v>
      </c>
      <c r="Y12" s="7">
        <f>$B12 * IFERROR(VLOOKUP("industry|NOx|Respiratory hospital admissions", US_national_yearly!$D:$AM, 33, FALSE) / VLOOKUP("industry|NOx|Respiratory hospital admissions", US_national_yearly!$D:$AM, 10, FALSE), 1)</f>
        <v>3.4814109474391272E-5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3.4946341113053101E-5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3.5078572751714924E-5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3.5210804390376746E-5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1.7850008910382754E-4</v>
      </c>
      <c r="C13" s="7">
        <f>$B13 * IFERROR(VLOOKUP("industry|NOx|Non-fatal heart attacks", US_national_yearly!$D:$AM, 11, FALSE) / VLOOKUP("industry|NOx|Non-fatal heart attacks", US_national_yearly!$D:$AM, 10, FALSE), 1)</f>
        <v>1.8360000770259848E-4</v>
      </c>
      <c r="D13" s="7">
        <f>$B13 * IFERROR(VLOOKUP("industry|NOx|Non-fatal heart attacks", US_national_yearly!$D:$AM, 12, FALSE) / VLOOKUP("industry|NOx|Non-fatal heart attacks", US_national_yearly!$D:$AM, 10, FALSE), 1)</f>
        <v>1.8869992630136939E-4</v>
      </c>
      <c r="E13" s="7">
        <f>$B13 * IFERROR(VLOOKUP("industry|NOx|Non-fatal heart attacks", US_national_yearly!$D:$AM, 13, FALSE) / VLOOKUP("industry|NOx|Non-fatal heart attacks", US_national_yearly!$D:$AM, 10, FALSE), 1)</f>
        <v>1.9379984490014034E-4</v>
      </c>
      <c r="F13" s="7">
        <f>$B13 * IFERROR(VLOOKUP("industry|NOx|Non-fatal heart attacks", US_national_yearly!$D:$AM, 14, FALSE) / VLOOKUP("industry|NOx|Non-fatal heart attacks", US_national_yearly!$D:$AM, 10, FALSE), 1)</f>
        <v>1.9889976349891128E-4</v>
      </c>
      <c r="G13" s="7">
        <f>$B13 * IFERROR(VLOOKUP("industry|NOx|Non-fatal heart attacks", US_national_yearly!$D:$AM, 15, FALSE) / VLOOKUP("industry|NOx|Non-fatal heart attacks", US_national_yearly!$D:$AM, 10, FALSE), 1)</f>
        <v>2.0366967302169663E-4</v>
      </c>
      <c r="H13" s="7">
        <f>$B13 * IFERROR(VLOOKUP("industry|NOx|Non-fatal heart attacks", US_national_yearly!$D:$AM, 16, FALSE) / VLOOKUP("industry|NOx|Non-fatal heart attacks", US_national_yearly!$D:$AM, 10, FALSE), 1)</f>
        <v>2.0843958254448196E-4</v>
      </c>
      <c r="I13" s="7">
        <f>$B13 * IFERROR(VLOOKUP("industry|NOx|Non-fatal heart attacks", US_national_yearly!$D:$AM, 17, FALSE) / VLOOKUP("industry|NOx|Non-fatal heart attacks", US_national_yearly!$D:$AM, 10, FALSE), 1)</f>
        <v>2.1221207956809393E-4</v>
      </c>
      <c r="J13" s="7">
        <f>$B13 * IFERROR(VLOOKUP("industry|NOx|Non-fatal heart attacks", US_national_yearly!$D:$AM, 18, FALSE) / VLOOKUP("industry|NOx|Non-fatal heart attacks", US_national_yearly!$D:$AM, 10, FALSE), 1)</f>
        <v>2.159845765917059E-4</v>
      </c>
      <c r="K13" s="7">
        <f>$B13 * IFERROR(VLOOKUP("industry|NOx|Non-fatal heart attacks", US_national_yearly!$D:$AM, 19, FALSE) / VLOOKUP("industry|NOx|Non-fatal heart attacks", US_national_yearly!$D:$AM, 10, FALSE), 1)</f>
        <v>2.1975707361531776E-4</v>
      </c>
      <c r="L13" s="7">
        <f>$B13 * IFERROR(VLOOKUP("industry|NOx|Non-fatal heart attacks", US_national_yearly!$D:$AM, 20, FALSE) / VLOOKUP("industry|NOx|Non-fatal heart attacks", US_national_yearly!$D:$AM, 10, FALSE), 1)</f>
        <v>2.2352957063892981E-4</v>
      </c>
      <c r="M13" s="7">
        <f>$B13 * IFERROR(VLOOKUP("industry|NOx|Non-fatal heart attacks", US_national_yearly!$D:$AM, 21, FALSE) / VLOOKUP("industry|NOx|Non-fatal heart attacks", US_national_yearly!$D:$AM, 10, FALSE), 1)</f>
        <v>2.273020676625418E-4</v>
      </c>
      <c r="N13" s="7">
        <f>$B13 * IFERROR(VLOOKUP("industry|NOx|Non-fatal heart attacks", US_national_yearly!$D:$AM, 22, FALSE) / VLOOKUP("industry|NOx|Non-fatal heart attacks", US_national_yearly!$D:$AM, 10, FALSE), 1)</f>
        <v>2.2957481605669785E-4</v>
      </c>
      <c r="O13" s="7">
        <f>$B13 * IFERROR(VLOOKUP("industry|NOx|Non-fatal heart attacks", US_national_yearly!$D:$AM, 23, FALSE) / VLOOKUP("industry|NOx|Non-fatal heart attacks", US_national_yearly!$D:$AM, 10, FALSE), 1)</f>
        <v>2.3184756445085385E-4</v>
      </c>
      <c r="P13" s="7">
        <f>$B13 * IFERROR(VLOOKUP("industry|NOx|Non-fatal heart attacks", US_national_yearly!$D:$AM, 24, FALSE) / VLOOKUP("industry|NOx|Non-fatal heart attacks", US_national_yearly!$D:$AM, 10, FALSE), 1)</f>
        <v>2.3412031284500984E-4</v>
      </c>
      <c r="Q13" s="7">
        <f>$B13 * IFERROR(VLOOKUP("industry|NOx|Non-fatal heart attacks", US_national_yearly!$D:$AM, 25, FALSE) / VLOOKUP("industry|NOx|Non-fatal heart attacks", US_national_yearly!$D:$AM, 10, FALSE), 1)</f>
        <v>2.3639306123916586E-4</v>
      </c>
      <c r="R13" s="7">
        <f>$B13 * IFERROR(VLOOKUP("industry|NOx|Non-fatal heart attacks", US_national_yearly!$D:$AM, 26, FALSE) / VLOOKUP("industry|NOx|Non-fatal heart attacks", US_national_yearly!$D:$AM, 10, FALSE), 1)</f>
        <v>2.3866580963332186E-4</v>
      </c>
      <c r="S13" s="7">
        <f>$B13 * IFERROR(VLOOKUP("industry|NOx|Non-fatal heart attacks", US_national_yearly!$D:$AM, 27, FALSE) / VLOOKUP("industry|NOx|Non-fatal heart attacks", US_national_yearly!$D:$AM, 10, FALSE), 1)</f>
        <v>2.3970859192974767E-4</v>
      </c>
      <c r="T13" s="7">
        <f>$B13 * IFERROR(VLOOKUP("industry|NOx|Non-fatal heart attacks", US_national_yearly!$D:$AM, 28, FALSE) / VLOOKUP("industry|NOx|Non-fatal heart attacks", US_national_yearly!$D:$AM, 10, FALSE), 1)</f>
        <v>2.4075137422617345E-4</v>
      </c>
      <c r="U13" s="7">
        <f>$B13 * IFERROR(VLOOKUP("industry|NOx|Non-fatal heart attacks", US_national_yearly!$D:$AM, 29, FALSE) / VLOOKUP("industry|NOx|Non-fatal heart attacks", US_national_yearly!$D:$AM, 10, FALSE), 1)</f>
        <v>2.4179415652259923E-4</v>
      </c>
      <c r="V13" s="7">
        <f>$B13 * IFERROR(VLOOKUP("industry|NOx|Non-fatal heart attacks", US_national_yearly!$D:$AM, 30, FALSE) / VLOOKUP("industry|NOx|Non-fatal heart attacks", US_national_yearly!$D:$AM, 10, FALSE), 1)</f>
        <v>2.4283693881902503E-4</v>
      </c>
      <c r="W13" s="7">
        <f>$B13 * IFERROR(VLOOKUP("industry|NOx|Non-fatal heart attacks", US_national_yearly!$D:$AM, 31, FALSE) / VLOOKUP("industry|NOx|Non-fatal heart attacks", US_national_yearly!$D:$AM, 10, FALSE), 1)</f>
        <v>2.4387972111545081E-4</v>
      </c>
      <c r="X13" s="7">
        <f>$B13 * IFERROR(VLOOKUP("industry|NOx|Non-fatal heart attacks", US_national_yearly!$D:$AM, 32, FALSE) / VLOOKUP("industry|NOx|Non-fatal heart attacks", US_national_yearly!$D:$AM, 10, FALSE), 1)</f>
        <v>2.4458348492393069E-4</v>
      </c>
      <c r="Y13" s="7">
        <f>$B13 * IFERROR(VLOOKUP("industry|NOx|Non-fatal heart attacks", US_national_yearly!$D:$AM, 33, FALSE) / VLOOKUP("industry|NOx|Non-fatal heart attacks", US_national_yearly!$D:$AM, 10, FALSE), 1)</f>
        <v>2.452872487324106E-4</v>
      </c>
      <c r="Z13" s="7">
        <f>$B13 * IFERROR(VLOOKUP("industry|NOx|Non-fatal heart attacks", US_national_yearly!$D:$AM, 34, FALSE) / VLOOKUP("industry|NOx|Non-fatal heart attacks", US_national_yearly!$D:$AM, 10, FALSE), 1)</f>
        <v>2.4599101254089046E-4</v>
      </c>
      <c r="AA13" s="7">
        <f>$B13 * IFERROR(VLOOKUP("industry|NOx|Non-fatal heart attacks", US_national_yearly!$D:$AM, 35, FALSE) / VLOOKUP("industry|NOx|Non-fatal heart attacks", US_national_yearly!$D:$AM, 10, FALSE), 1)</f>
        <v>2.4669477634937036E-4</v>
      </c>
      <c r="AB13" s="7">
        <f>$B13 * IFERROR(VLOOKUP("industry|NOx|Non-fatal heart attacks", US_national_yearly!$D:$AM, 36, FALSE) / VLOOKUP("industry|NOx|Non-fatal heart attacks", US_national_yearly!$D:$AM, 10, FALSE), 1)</f>
        <v>2.4739854015785022E-4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0.14310202830414645</v>
      </c>
      <c r="C14" s="7">
        <f>$B14 * IFERROR(VLOOKUP("industry|NOx|Minor restricted activity days", US_national_yearly!$D:$AM, 11, FALSE) / VLOOKUP("industry|NOx|Minor restricted activity days", US_national_yearly!$D:$AM, 10, FALSE), 1)</f>
        <v>0.14331404500147782</v>
      </c>
      <c r="D14" s="7">
        <f>$B14 * IFERROR(VLOOKUP("industry|NOx|Minor restricted activity days", US_national_yearly!$D:$AM, 12, FALSE) / VLOOKUP("industry|NOx|Minor restricted activity days", US_national_yearly!$D:$AM, 10, FALSE), 1)</f>
        <v>0.14352606169880919</v>
      </c>
      <c r="E14" s="7">
        <f>$B14 * IFERROR(VLOOKUP("industry|NOx|Minor restricted activity days", US_national_yearly!$D:$AM, 13, FALSE) / VLOOKUP("industry|NOx|Minor restricted activity days", US_national_yearly!$D:$AM, 10, FALSE), 1)</f>
        <v>0.14373807839614056</v>
      </c>
      <c r="F14" s="7">
        <f>$B14 * IFERROR(VLOOKUP("industry|NOx|Minor restricted activity days", US_national_yearly!$D:$AM, 14, FALSE) / VLOOKUP("industry|NOx|Minor restricted activity days", US_national_yearly!$D:$AM, 10, FALSE), 1)</f>
        <v>0.1439500950934719</v>
      </c>
      <c r="G14" s="7">
        <f>$B14 * IFERROR(VLOOKUP("industry|NOx|Minor restricted activity days", US_national_yearly!$D:$AM, 15, FALSE) / VLOOKUP("industry|NOx|Minor restricted activity days", US_national_yearly!$D:$AM, 10, FALSE), 1)</f>
        <v>0.14433605166353308</v>
      </c>
      <c r="H14" s="7">
        <f>$B14 * IFERROR(VLOOKUP("industry|NOx|Minor restricted activity days", US_national_yearly!$D:$AM, 16, FALSE) / VLOOKUP("industry|NOx|Minor restricted activity days", US_national_yearly!$D:$AM, 10, FALSE), 1)</f>
        <v>0.14472200823359424</v>
      </c>
      <c r="I14" s="7">
        <f>$B14 * IFERROR(VLOOKUP("industry|NOx|Minor restricted activity days", US_national_yearly!$D:$AM, 17, FALSE) / VLOOKUP("industry|NOx|Minor restricted activity days", US_national_yearly!$D:$AM, 10, FALSE), 1)</f>
        <v>0.14548181868172735</v>
      </c>
      <c r="J14" s="7">
        <f>$B14 * IFERROR(VLOOKUP("industry|NOx|Minor restricted activity days", US_national_yearly!$D:$AM, 18, FALSE) / VLOOKUP("industry|NOx|Minor restricted activity days", US_national_yearly!$D:$AM, 10, FALSE), 1)</f>
        <v>0.14624162912986041</v>
      </c>
      <c r="K14" s="7">
        <f>$B14 * IFERROR(VLOOKUP("industry|NOx|Minor restricted activity days", US_national_yearly!$D:$AM, 19, FALSE) / VLOOKUP("industry|NOx|Minor restricted activity days", US_national_yearly!$D:$AM, 10, FALSE), 1)</f>
        <v>0.14700143957799347</v>
      </c>
      <c r="L14" s="7">
        <f>$B14 * IFERROR(VLOOKUP("industry|NOx|Minor restricted activity days", US_national_yearly!$D:$AM, 20, FALSE) / VLOOKUP("industry|NOx|Minor restricted activity days", US_national_yearly!$D:$AM, 10, FALSE), 1)</f>
        <v>0.14776125002612658</v>
      </c>
      <c r="M14" s="7">
        <f>$B14 * IFERROR(VLOOKUP("industry|NOx|Minor restricted activity days", US_national_yearly!$D:$AM, 21, FALSE) / VLOOKUP("industry|NOx|Minor restricted activity days", US_national_yearly!$D:$AM, 10, FALSE), 1)</f>
        <v>0.14852106047425964</v>
      </c>
      <c r="N14" s="7">
        <f>$B14 * IFERROR(VLOOKUP("industry|NOx|Minor restricted activity days", US_national_yearly!$D:$AM, 22, FALSE) / VLOOKUP("industry|NOx|Minor restricted activity days", US_national_yearly!$D:$AM, 10, FALSE), 1)</f>
        <v>0.14961523831446943</v>
      </c>
      <c r="O14" s="7">
        <f>$B14 * IFERROR(VLOOKUP("industry|NOx|Minor restricted activity days", US_national_yearly!$D:$AM, 23, FALSE) / VLOOKUP("industry|NOx|Minor restricted activity days", US_national_yearly!$D:$AM, 10, FALSE), 1)</f>
        <v>0.15070941615467923</v>
      </c>
      <c r="P14" s="7">
        <f>$B14 * IFERROR(VLOOKUP("industry|NOx|Minor restricted activity days", US_national_yearly!$D:$AM, 24, FALSE) / VLOOKUP("industry|NOx|Minor restricted activity days", US_national_yearly!$D:$AM, 10, FALSE), 1)</f>
        <v>0.15180359399488905</v>
      </c>
      <c r="Q14" s="7">
        <f>$B14 * IFERROR(VLOOKUP("industry|NOx|Minor restricted activity days", US_national_yearly!$D:$AM, 25, FALSE) / VLOOKUP("industry|NOx|Minor restricted activity days", US_national_yearly!$D:$AM, 10, FALSE), 1)</f>
        <v>0.15289777183509881</v>
      </c>
      <c r="R14" s="7">
        <f>$B14 * IFERROR(VLOOKUP("industry|NOx|Minor restricted activity days", US_national_yearly!$D:$AM, 26, FALSE) / VLOOKUP("industry|NOx|Minor restricted activity days", US_national_yearly!$D:$AM, 10, FALSE), 1)</f>
        <v>0.1539919496753086</v>
      </c>
      <c r="S14" s="7">
        <f>$B14 * IFERROR(VLOOKUP("industry|NOx|Minor restricted activity days", US_national_yearly!$D:$AM, 27, FALSE) / VLOOKUP("industry|NOx|Minor restricted activity days", US_national_yearly!$D:$AM, 10, FALSE), 1)</f>
        <v>0.15508729897932405</v>
      </c>
      <c r="T14" s="7">
        <f>$B14 * IFERROR(VLOOKUP("industry|NOx|Minor restricted activity days", US_national_yearly!$D:$AM, 28, FALSE) / VLOOKUP("industry|NOx|Minor restricted activity days", US_national_yearly!$D:$AM, 10, FALSE), 1)</f>
        <v>0.15618264828333953</v>
      </c>
      <c r="U14" s="7">
        <f>$B14 * IFERROR(VLOOKUP("industry|NOx|Minor restricted activity days", US_national_yearly!$D:$AM, 29, FALSE) / VLOOKUP("industry|NOx|Minor restricted activity days", US_national_yearly!$D:$AM, 10, FALSE), 1)</f>
        <v>0.157277997587355</v>
      </c>
      <c r="V14" s="7">
        <f>$B14 * IFERROR(VLOOKUP("industry|NOx|Minor restricted activity days", US_national_yearly!$D:$AM, 30, FALSE) / VLOOKUP("industry|NOx|Minor restricted activity days", US_national_yearly!$D:$AM, 10, FALSE), 1)</f>
        <v>0.15837334689137048</v>
      </c>
      <c r="W14" s="7">
        <f>$B14 * IFERROR(VLOOKUP("industry|NOx|Minor restricted activity days", US_national_yearly!$D:$AM, 31, FALSE) / VLOOKUP("industry|NOx|Minor restricted activity days", US_national_yearly!$D:$AM, 10, FALSE), 1)</f>
        <v>0.15946869619538595</v>
      </c>
      <c r="X14" s="7">
        <f>$B14 * IFERROR(VLOOKUP("industry|NOx|Minor restricted activity days", US_national_yearly!$D:$AM, 32, FALSE) / VLOOKUP("industry|NOx|Minor restricted activity days", US_national_yearly!$D:$AM, 10, FALSE), 1)</f>
        <v>0.16039348362668659</v>
      </c>
      <c r="Y14" s="7">
        <f>$B14 * IFERROR(VLOOKUP("industry|NOx|Minor restricted activity days", US_national_yearly!$D:$AM, 33, FALSE) / VLOOKUP("industry|NOx|Minor restricted activity days", US_national_yearly!$D:$AM, 10, FALSE), 1)</f>
        <v>0.16131827105798721</v>
      </c>
      <c r="Z14" s="7">
        <f>$B14 * IFERROR(VLOOKUP("industry|NOx|Minor restricted activity days", US_national_yearly!$D:$AM, 34, FALSE) / VLOOKUP("industry|NOx|Minor restricted activity days", US_national_yearly!$D:$AM, 10, FALSE), 1)</f>
        <v>0.16224305848928783</v>
      </c>
      <c r="AA14" s="7">
        <f>$B14 * IFERROR(VLOOKUP("industry|NOx|Minor restricted activity days", US_national_yearly!$D:$AM, 35, FALSE) / VLOOKUP("industry|NOx|Minor restricted activity days", US_national_yearly!$D:$AM, 10, FALSE), 1)</f>
        <v>0.16316784592058847</v>
      </c>
      <c r="AB14" s="7">
        <f>$B14 * IFERROR(VLOOKUP("industry|NOx|Minor restricted activity days", US_national_yearly!$D:$AM, 36, FALSE) / VLOOKUP("industry|NOx|Minor restricted activity days", US_national_yearly!$D:$AM, 10, FALSE), 1)</f>
        <v>0.16409263335188914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2.4277018214100953E-2</v>
      </c>
      <c r="C15" s="7">
        <f>$B15 * IFERROR(VLOOKUP("industry|NOx|Work loss days", US_national_yearly!$D:$AM, 11, FALSE) / VLOOKUP("industry|NOx|Work loss days", US_national_yearly!$D:$AM, 10, FALSE), 1)</f>
        <v>2.4329618668190545E-2</v>
      </c>
      <c r="D15" s="7">
        <f>$B15 * IFERROR(VLOOKUP("industry|NOx|Work loss days", US_national_yearly!$D:$AM, 12, FALSE) / VLOOKUP("industry|NOx|Work loss days", US_national_yearly!$D:$AM, 10, FALSE), 1)</f>
        <v>2.4382219122280127E-2</v>
      </c>
      <c r="E15" s="7">
        <f>$B15 * IFERROR(VLOOKUP("industry|NOx|Work loss days", US_national_yearly!$D:$AM, 13, FALSE) / VLOOKUP("industry|NOx|Work loss days", US_national_yearly!$D:$AM, 10, FALSE), 1)</f>
        <v>2.4434819576369719E-2</v>
      </c>
      <c r="F15" s="7">
        <f>$B15 * IFERROR(VLOOKUP("industry|NOx|Work loss days", US_national_yearly!$D:$AM, 14, FALSE) / VLOOKUP("industry|NOx|Work loss days", US_national_yearly!$D:$AM, 10, FALSE), 1)</f>
        <v>2.4487420030459305E-2</v>
      </c>
      <c r="G15" s="7">
        <f>$B15 * IFERROR(VLOOKUP("industry|NOx|Work loss days", US_national_yearly!$D:$AM, 15, FALSE) / VLOOKUP("industry|NOx|Work loss days", US_national_yearly!$D:$AM, 10, FALSE), 1)</f>
        <v>2.456436130221476E-2</v>
      </c>
      <c r="H15" s="7">
        <f>$B15 * IFERROR(VLOOKUP("industry|NOx|Work loss days", US_national_yearly!$D:$AM, 16, FALSE) / VLOOKUP("industry|NOx|Work loss days", US_national_yearly!$D:$AM, 10, FALSE), 1)</f>
        <v>2.4641302573970215E-2</v>
      </c>
      <c r="I15" s="7">
        <f>$B15 * IFERROR(VLOOKUP("industry|NOx|Work loss days", US_national_yearly!$D:$AM, 17, FALSE) / VLOOKUP("industry|NOx|Work loss days", US_national_yearly!$D:$AM, 10, FALSE), 1)</f>
        <v>2.4766312631759185E-2</v>
      </c>
      <c r="J15" s="7">
        <f>$B15 * IFERROR(VLOOKUP("industry|NOx|Work loss days", US_national_yearly!$D:$AM, 18, FALSE) / VLOOKUP("industry|NOx|Work loss days", US_national_yearly!$D:$AM, 10, FALSE), 1)</f>
        <v>2.4891322689548145E-2</v>
      </c>
      <c r="K15" s="7">
        <f>$B15 * IFERROR(VLOOKUP("industry|NOx|Work loss days", US_national_yearly!$D:$AM, 19, FALSE) / VLOOKUP("industry|NOx|Work loss days", US_national_yearly!$D:$AM, 10, FALSE), 1)</f>
        <v>2.5016332747337115E-2</v>
      </c>
      <c r="L15" s="7">
        <f>$B15 * IFERROR(VLOOKUP("industry|NOx|Work loss days", US_national_yearly!$D:$AM, 20, FALSE) / VLOOKUP("industry|NOx|Work loss days", US_national_yearly!$D:$AM, 10, FALSE), 1)</f>
        <v>2.5141342805126074E-2</v>
      </c>
      <c r="M15" s="7">
        <f>$B15 * IFERROR(VLOOKUP("industry|NOx|Work loss days", US_national_yearly!$D:$AM, 21, FALSE) / VLOOKUP("industry|NOx|Work loss days", US_national_yearly!$D:$AM, 10, FALSE), 1)</f>
        <v>2.5266352862915044E-2</v>
      </c>
      <c r="N15" s="7">
        <f>$B15 * IFERROR(VLOOKUP("industry|NOx|Work loss days", US_national_yearly!$D:$AM, 22, FALSE) / VLOOKUP("industry|NOx|Work loss days", US_national_yearly!$D:$AM, 10, FALSE), 1)</f>
        <v>2.54298376691275E-2</v>
      </c>
      <c r="O15" s="7">
        <f>$B15 * IFERROR(VLOOKUP("industry|NOx|Work loss days", US_national_yearly!$D:$AM, 23, FALSE) / VLOOKUP("industry|NOx|Work loss days", US_national_yearly!$D:$AM, 10, FALSE), 1)</f>
        <v>2.5593322475339967E-2</v>
      </c>
      <c r="P15" s="7">
        <f>$B15 * IFERROR(VLOOKUP("industry|NOx|Work loss days", US_national_yearly!$D:$AM, 24, FALSE) / VLOOKUP("industry|NOx|Work loss days", US_national_yearly!$D:$AM, 10, FALSE), 1)</f>
        <v>2.5756807281552423E-2</v>
      </c>
      <c r="Q15" s="7">
        <f>$B15 * IFERROR(VLOOKUP("industry|NOx|Work loss days", US_national_yearly!$D:$AM, 25, FALSE) / VLOOKUP("industry|NOx|Work loss days", US_national_yearly!$D:$AM, 10, FALSE), 1)</f>
        <v>2.5920292087764883E-2</v>
      </c>
      <c r="R15" s="7">
        <f>$B15 * IFERROR(VLOOKUP("industry|NOx|Work loss days", US_national_yearly!$D:$AM, 26, FALSE) / VLOOKUP("industry|NOx|Work loss days", US_national_yearly!$D:$AM, 10, FALSE), 1)</f>
        <v>2.6083776893977347E-2</v>
      </c>
      <c r="S15" s="7">
        <f>$B15 * IFERROR(VLOOKUP("industry|NOx|Work loss days", US_national_yearly!$D:$AM, 27, FALSE) / VLOOKUP("industry|NOx|Work loss days", US_national_yearly!$D:$AM, 10, FALSE), 1)</f>
        <v>2.6266543004736263E-2</v>
      </c>
      <c r="T15" s="7">
        <f>$B15 * IFERROR(VLOOKUP("industry|NOx|Work loss days", US_national_yearly!$D:$AM, 28, FALSE) / VLOOKUP("industry|NOx|Work loss days", US_national_yearly!$D:$AM, 10, FALSE), 1)</f>
        <v>2.6449309115495184E-2</v>
      </c>
      <c r="U15" s="7">
        <f>$B15 * IFERROR(VLOOKUP("industry|NOx|Work loss days", US_national_yearly!$D:$AM, 29, FALSE) / VLOOKUP("industry|NOx|Work loss days", US_national_yearly!$D:$AM, 10, FALSE), 1)</f>
        <v>2.6632075226254107E-2</v>
      </c>
      <c r="V15" s="7">
        <f>$B15 * IFERROR(VLOOKUP("industry|NOx|Work loss days", US_national_yearly!$D:$AM, 30, FALSE) / VLOOKUP("industry|NOx|Work loss days", US_national_yearly!$D:$AM, 10, FALSE), 1)</f>
        <v>2.6814841337013021E-2</v>
      </c>
      <c r="W15" s="7">
        <f>$B15 * IFERROR(VLOOKUP("industry|NOx|Work loss days", US_national_yearly!$D:$AM, 31, FALSE) / VLOOKUP("industry|NOx|Work loss days", US_national_yearly!$D:$AM, 10, FALSE), 1)</f>
        <v>2.6997607447771944E-2</v>
      </c>
      <c r="X15" s="7">
        <f>$B15 * IFERROR(VLOOKUP("industry|NOx|Work loss days", US_national_yearly!$D:$AM, 32, FALSE) / VLOOKUP("industry|NOx|Work loss days", US_national_yearly!$D:$AM, 10, FALSE), 1)</f>
        <v>2.715616342282277E-2</v>
      </c>
      <c r="Y15" s="7">
        <f>$B15 * IFERROR(VLOOKUP("industry|NOx|Work loss days", US_national_yearly!$D:$AM, 33, FALSE) / VLOOKUP("industry|NOx|Work loss days", US_national_yearly!$D:$AM, 10, FALSE), 1)</f>
        <v>2.7314719397873593E-2</v>
      </c>
      <c r="Z15" s="7">
        <f>$B15 * IFERROR(VLOOKUP("industry|NOx|Work loss days", US_national_yearly!$D:$AM, 34, FALSE) / VLOOKUP("industry|NOx|Work loss days", US_national_yearly!$D:$AM, 10, FALSE), 1)</f>
        <v>2.7473275372924419E-2</v>
      </c>
      <c r="AA15" s="7">
        <f>$B15 * IFERROR(VLOOKUP("industry|NOx|Work loss days", US_national_yearly!$D:$AM, 35, FALSE) / VLOOKUP("industry|NOx|Work loss days", US_national_yearly!$D:$AM, 10, FALSE), 1)</f>
        <v>2.7631831347975245E-2</v>
      </c>
      <c r="AB15" s="7">
        <f>$B15 * IFERROR(VLOOKUP("industry|NOx|Work loss days", US_national_yearly!$D:$AM, 36, FALSE) / VLOOKUP("industry|NOx|Work loss days", US_national_yearly!$D:$AM, 10, FALSE), 1)</f>
        <v>2.7790387323026071E-2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3.4280828313829551E-5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3.5287405002479974E-5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3.6293981691130404E-5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3.7300558379780827E-5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3.8307135068431264E-5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3.9263809861379957E-5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4.0220484654328651E-5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4.1027030726999259E-5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4.183357679966986E-5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4.2640122872340461E-5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4.3446668945011062E-5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4.4253215017681663E-5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4.4758146049115395E-5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4.5263077080549107E-5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4.5768008111982833E-5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4.6272939143416558E-5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4.6777870174850276E-5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4.7010804790421444E-5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4.7243739405992612E-5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4.747667402156378E-5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4.770960863713494E-5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4.7942543252706108E-5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4.8074149682583928E-5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4.8205756112461748E-5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4.8337362542339562E-5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4.8468968972217375E-5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4.8600575402095202E-5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3.175839095451132E-3</v>
      </c>
      <c r="C2" s="7">
        <f>$B2 * IFERROR(VLOOKUP("industry|SO2|Premature mortality", US_national_yearly!$D:$AM, 11, FALSE) / VLOOKUP("industry|SO2|Premature mortality", US_national_yearly!$D:$AM, 10, FALSE), 1)</f>
        <v>3.2160988986423738E-3</v>
      </c>
      <c r="D2" s="7">
        <f>$B2 * IFERROR(VLOOKUP("industry|SO2|Premature mortality", US_national_yearly!$D:$AM, 12, FALSE) / VLOOKUP("industry|SO2|Premature mortality", US_national_yearly!$D:$AM, 10, FALSE), 1)</f>
        <v>3.2563587018336151E-3</v>
      </c>
      <c r="E2" s="7">
        <f>$B2 * IFERROR(VLOOKUP("industry|SO2|Premature mortality", US_national_yearly!$D:$AM, 13, FALSE) / VLOOKUP("industry|SO2|Premature mortality", US_national_yearly!$D:$AM, 10, FALSE), 1)</f>
        <v>3.2966185050248564E-3</v>
      </c>
      <c r="F2" s="7">
        <f>$B2 * IFERROR(VLOOKUP("industry|SO2|Premature mortality", US_national_yearly!$D:$AM, 14, FALSE) / VLOOKUP("industry|SO2|Premature mortality", US_national_yearly!$D:$AM, 10, FALSE), 1)</f>
        <v>3.3368783082160982E-3</v>
      </c>
      <c r="G2" s="7">
        <f>$B2 * IFERROR(VLOOKUP("industry|SO2|Premature mortality", US_national_yearly!$D:$AM, 15, FALSE) / VLOOKUP("industry|SO2|Premature mortality", US_national_yearly!$D:$AM, 10, FALSE), 1)</f>
        <v>3.4144776140368521E-3</v>
      </c>
      <c r="H2" s="7">
        <f>$B2 * IFERROR(VLOOKUP("industry|SO2|Premature mortality", US_national_yearly!$D:$AM, 16, FALSE) / VLOOKUP("industry|SO2|Premature mortality", US_national_yearly!$D:$AM, 10, FALSE), 1)</f>
        <v>3.4920769198576065E-3</v>
      </c>
      <c r="I2" s="7">
        <f>$B2 * IFERROR(VLOOKUP("industry|SO2|Premature mortality", US_national_yearly!$D:$AM, 17, FALSE) / VLOOKUP("industry|SO2|Premature mortality", US_national_yearly!$D:$AM, 10, FALSE), 1)</f>
        <v>3.5434609089215838E-3</v>
      </c>
      <c r="J2" s="7">
        <f>$B2 * IFERROR(VLOOKUP("industry|SO2|Premature mortality", US_national_yearly!$D:$AM, 18, FALSE) / VLOOKUP("industry|SO2|Premature mortality", US_national_yearly!$D:$AM, 10, FALSE), 1)</f>
        <v>3.5948448979855607E-3</v>
      </c>
      <c r="K2" s="7">
        <f>$B2 * IFERROR(VLOOKUP("industry|SO2|Premature mortality", US_national_yearly!$D:$AM, 19, FALSE) / VLOOKUP("industry|SO2|Premature mortality", US_national_yearly!$D:$AM, 10, FALSE), 1)</f>
        <v>3.646228887049538E-3</v>
      </c>
      <c r="L2" s="7">
        <f>$B2 * IFERROR(VLOOKUP("industry|SO2|Premature mortality", US_national_yearly!$D:$AM, 20, FALSE) / VLOOKUP("industry|SO2|Premature mortality", US_national_yearly!$D:$AM, 10, FALSE), 1)</f>
        <v>3.6976128761135154E-3</v>
      </c>
      <c r="M2" s="7">
        <f>$B2 * IFERROR(VLOOKUP("industry|SO2|Premature mortality", US_national_yearly!$D:$AM, 21, FALSE) / VLOOKUP("industry|SO2|Premature mortality", US_national_yearly!$D:$AM, 10, FALSE), 1)</f>
        <v>3.7489968651774927E-3</v>
      </c>
      <c r="N2" s="7">
        <f>$B2 * IFERROR(VLOOKUP("industry|SO2|Premature mortality", US_national_yearly!$D:$AM, 22, FALSE) / VLOOKUP("industry|SO2|Premature mortality", US_national_yearly!$D:$AM, 10, FALSE), 1)</f>
        <v>3.7891913617527158E-3</v>
      </c>
      <c r="O2" s="7">
        <f>$B2 * IFERROR(VLOOKUP("industry|SO2|Premature mortality", US_national_yearly!$D:$AM, 23, FALSE) / VLOOKUP("industry|SO2|Premature mortality", US_national_yearly!$D:$AM, 10, FALSE), 1)</f>
        <v>3.8293858583279389E-3</v>
      </c>
      <c r="P2" s="7">
        <f>$B2 * IFERROR(VLOOKUP("industry|SO2|Premature mortality", US_national_yearly!$D:$AM, 24, FALSE) / VLOOKUP("industry|SO2|Premature mortality", US_national_yearly!$D:$AM, 10, FALSE), 1)</f>
        <v>3.869580354903162E-3</v>
      </c>
      <c r="Q2" s="7">
        <f>$B2 * IFERROR(VLOOKUP("industry|SO2|Premature mortality", US_national_yearly!$D:$AM, 25, FALSE) / VLOOKUP("industry|SO2|Premature mortality", US_national_yearly!$D:$AM, 10, FALSE), 1)</f>
        <v>3.9097748514783856E-3</v>
      </c>
      <c r="R2" s="7">
        <f>$B2 * IFERROR(VLOOKUP("industry|SO2|Premature mortality", US_national_yearly!$D:$AM, 26, FALSE) / VLOOKUP("industry|SO2|Premature mortality", US_national_yearly!$D:$AM, 10, FALSE), 1)</f>
        <v>3.9499693480536087E-3</v>
      </c>
      <c r="S2" s="7">
        <f>$B2 * IFERROR(VLOOKUP("industry|SO2|Premature mortality", US_national_yearly!$D:$AM, 27, FALSE) / VLOOKUP("industry|SO2|Premature mortality", US_national_yearly!$D:$AM, 10, FALSE), 1)</f>
        <v>3.9716721618619309E-3</v>
      </c>
      <c r="T2" s="7">
        <f>$B2 * IFERROR(VLOOKUP("industry|SO2|Premature mortality", US_national_yearly!$D:$AM, 28, FALSE) / VLOOKUP("industry|SO2|Premature mortality", US_national_yearly!$D:$AM, 10, FALSE), 1)</f>
        <v>3.9933749756702538E-3</v>
      </c>
      <c r="U2" s="7">
        <f>$B2 * IFERROR(VLOOKUP("industry|SO2|Premature mortality", US_national_yearly!$D:$AM, 29, FALSE) / VLOOKUP("industry|SO2|Premature mortality", US_national_yearly!$D:$AM, 10, FALSE), 1)</f>
        <v>4.0150777894785777E-3</v>
      </c>
      <c r="V2" s="7">
        <f>$B2 * IFERROR(VLOOKUP("industry|SO2|Premature mortality", US_national_yearly!$D:$AM, 30, FALSE) / VLOOKUP("industry|SO2|Premature mortality", US_national_yearly!$D:$AM, 10, FALSE), 1)</f>
        <v>4.0367806032869016E-3</v>
      </c>
      <c r="W2" s="7">
        <f>$B2 * IFERROR(VLOOKUP("industry|SO2|Premature mortality", US_national_yearly!$D:$AM, 31, FALSE) / VLOOKUP("industry|SO2|Premature mortality", US_national_yearly!$D:$AM, 10, FALSE), 1)</f>
        <v>4.0584834170952246E-3</v>
      </c>
      <c r="X2" s="7">
        <f>$B2 * IFERROR(VLOOKUP("industry|SO2|Premature mortality", US_national_yearly!$D:$AM, 32, FALSE) / VLOOKUP("industry|SO2|Premature mortality", US_national_yearly!$D:$AM, 10, FALSE), 1)</f>
        <v>4.0631545248644187E-3</v>
      </c>
      <c r="Y2" s="7">
        <f>$B2 * IFERROR(VLOOKUP("industry|SO2|Premature mortality", US_national_yearly!$D:$AM, 33, FALSE) / VLOOKUP("industry|SO2|Premature mortality", US_national_yearly!$D:$AM, 10, FALSE), 1)</f>
        <v>4.0678256326336128E-3</v>
      </c>
      <c r="Z2" s="7">
        <f>$B2 * IFERROR(VLOOKUP("industry|SO2|Premature mortality", US_national_yearly!$D:$AM, 34, FALSE) / VLOOKUP("industry|SO2|Premature mortality", US_national_yearly!$D:$AM, 10, FALSE), 1)</f>
        <v>4.0724967404028077E-3</v>
      </c>
      <c r="AA2" s="7">
        <f>$B2 * IFERROR(VLOOKUP("industry|SO2|Premature mortality", US_national_yearly!$D:$AM, 35, FALSE) / VLOOKUP("industry|SO2|Premature mortality", US_national_yearly!$D:$AM, 10, FALSE), 1)</f>
        <v>4.0771678481720027E-3</v>
      </c>
      <c r="AB2" s="7">
        <f>$B2 * IFERROR(VLOOKUP("industry|SO2|Premature mortality", US_national_yearly!$D:$AM, 36, FALSE) / VLOOKUP("industry|SO2|Premature mortality", US_national_yearly!$D:$AM, 10, FALSE), 1)</f>
        <v>4.0818389559411968E-3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8.1782325349317129E-6</v>
      </c>
      <c r="C3" s="7">
        <f>$B3 * IFERROR(VLOOKUP("industry|SO2|Infant mortality", US_national_yearly!$D:$AM, 11, FALSE) / VLOOKUP("industry|SO2|Infant mortality", US_national_yearly!$D:$AM, 10, FALSE), 1)</f>
        <v>8.1078745697549023E-6</v>
      </c>
      <c r="D3" s="7">
        <f>$B3 * IFERROR(VLOOKUP("industry|SO2|Infant mortality", US_national_yearly!$D:$AM, 12, FALSE) / VLOOKUP("industry|SO2|Infant mortality", US_national_yearly!$D:$AM, 10, FALSE), 1)</f>
        <v>8.0375166045780934E-6</v>
      </c>
      <c r="E3" s="7">
        <f>$B3 * IFERROR(VLOOKUP("industry|SO2|Infant mortality", US_national_yearly!$D:$AM, 13, FALSE) / VLOOKUP("industry|SO2|Infant mortality", US_national_yearly!$D:$AM, 10, FALSE), 1)</f>
        <v>7.9671586394012828E-6</v>
      </c>
      <c r="F3" s="7">
        <f>$B3 * IFERROR(VLOOKUP("industry|SO2|Infant mortality", US_national_yearly!$D:$AM, 14, FALSE) / VLOOKUP("industry|SO2|Infant mortality", US_national_yearly!$D:$AM, 10, FALSE), 1)</f>
        <v>7.8968006742244722E-6</v>
      </c>
      <c r="G3" s="7">
        <f>$B3 * IFERROR(VLOOKUP("industry|SO2|Infant mortality", US_national_yearly!$D:$AM, 15, FALSE) / VLOOKUP("industry|SO2|Infant mortality", US_national_yearly!$D:$AM, 10, FALSE), 1)</f>
        <v>5.256887149633509E-6</v>
      </c>
      <c r="H3" s="7">
        <f>$B3 * IFERROR(VLOOKUP("industry|SO2|Infant mortality", US_national_yearly!$D:$AM, 16, FALSE) / VLOOKUP("industry|SO2|Infant mortality", US_national_yearly!$D:$AM, 10, FALSE), 1)</f>
        <v>2.6169736250425448E-6</v>
      </c>
      <c r="I3" s="7">
        <f>$B3 * IFERROR(VLOOKUP("industry|SO2|Infant mortality", US_national_yearly!$D:$AM, 17, FALSE) / VLOOKUP("industry|SO2|Infant mortality", US_national_yearly!$D:$AM, 10, FALSE), 1)</f>
        <v>2.6003560657271218E-6</v>
      </c>
      <c r="J3" s="7">
        <f>$B3 * IFERROR(VLOOKUP("industry|SO2|Infant mortality", US_national_yearly!$D:$AM, 18, FALSE) / VLOOKUP("industry|SO2|Infant mortality", US_national_yearly!$D:$AM, 10, FALSE), 1)</f>
        <v>2.5837385064116983E-6</v>
      </c>
      <c r="K3" s="7">
        <f>$B3 * IFERROR(VLOOKUP("industry|SO2|Infant mortality", US_national_yearly!$D:$AM, 19, FALSE) / VLOOKUP("industry|SO2|Infant mortality", US_national_yearly!$D:$AM, 10, FALSE), 1)</f>
        <v>2.5671209470962748E-6</v>
      </c>
      <c r="L3" s="7">
        <f>$B3 * IFERROR(VLOOKUP("industry|SO2|Infant mortality", US_national_yearly!$D:$AM, 20, FALSE) / VLOOKUP("industry|SO2|Infant mortality", US_national_yearly!$D:$AM, 10, FALSE), 1)</f>
        <v>2.5505033877808518E-6</v>
      </c>
      <c r="M3" s="7">
        <f>$B3 * IFERROR(VLOOKUP("industry|SO2|Infant mortality", US_national_yearly!$D:$AM, 21, FALSE) / VLOOKUP("industry|SO2|Infant mortality", US_national_yearly!$D:$AM, 10, FALSE), 1)</f>
        <v>2.5338858284654283E-6</v>
      </c>
      <c r="N3" s="7">
        <f>$B3 * IFERROR(VLOOKUP("industry|SO2|Infant mortality", US_national_yearly!$D:$AM, 22, FALSE) / VLOOKUP("industry|SO2|Infant mortality", US_national_yearly!$D:$AM, 10, FALSE), 1)</f>
        <v>2.523353541302889E-6</v>
      </c>
      <c r="O3" s="7">
        <f>$B3 * IFERROR(VLOOKUP("industry|SO2|Infant mortality", US_national_yearly!$D:$AM, 23, FALSE) / VLOOKUP("industry|SO2|Infant mortality", US_national_yearly!$D:$AM, 10, FALSE), 1)</f>
        <v>2.5128212541403493E-6</v>
      </c>
      <c r="P3" s="7">
        <f>$B3 * IFERROR(VLOOKUP("industry|SO2|Infant mortality", US_national_yearly!$D:$AM, 24, FALSE) / VLOOKUP("industry|SO2|Infant mortality", US_national_yearly!$D:$AM, 10, FALSE), 1)</f>
        <v>2.5022889669778099E-6</v>
      </c>
      <c r="Q3" s="7">
        <f>$B3 * IFERROR(VLOOKUP("industry|SO2|Infant mortality", US_national_yearly!$D:$AM, 25, FALSE) / VLOOKUP("industry|SO2|Infant mortality", US_national_yearly!$D:$AM, 10, FALSE), 1)</f>
        <v>2.4917566798152706E-6</v>
      </c>
      <c r="R3" s="7">
        <f>$B3 * IFERROR(VLOOKUP("industry|SO2|Infant mortality", US_national_yearly!$D:$AM, 26, FALSE) / VLOOKUP("industry|SO2|Infant mortality", US_national_yearly!$D:$AM, 10, FALSE), 1)</f>
        <v>2.4812243926527312E-6</v>
      </c>
      <c r="S3" s="7">
        <f>$B3 * IFERROR(VLOOKUP("industry|SO2|Infant mortality", US_national_yearly!$D:$AM, 27, FALSE) / VLOOKUP("industry|SO2|Infant mortality", US_national_yearly!$D:$AM, 10, FALSE), 1)</f>
        <v>2.4681170814279559E-6</v>
      </c>
      <c r="T3" s="7">
        <f>$B3 * IFERROR(VLOOKUP("industry|SO2|Infant mortality", US_national_yearly!$D:$AM, 28, FALSE) / VLOOKUP("industry|SO2|Infant mortality", US_national_yearly!$D:$AM, 10, FALSE), 1)</f>
        <v>2.455009770203181E-6</v>
      </c>
      <c r="U3" s="7">
        <f>$B3 * IFERROR(VLOOKUP("industry|SO2|Infant mortality", US_national_yearly!$D:$AM, 29, FALSE) / VLOOKUP("industry|SO2|Infant mortality", US_national_yearly!$D:$AM, 10, FALSE), 1)</f>
        <v>2.4419024589784057E-6</v>
      </c>
      <c r="V3" s="7">
        <f>$B3 * IFERROR(VLOOKUP("industry|SO2|Infant mortality", US_national_yearly!$D:$AM, 30, FALSE) / VLOOKUP("industry|SO2|Infant mortality", US_national_yearly!$D:$AM, 10, FALSE), 1)</f>
        <v>2.4287951477536309E-6</v>
      </c>
      <c r="W3" s="7">
        <f>$B3 * IFERROR(VLOOKUP("industry|SO2|Infant mortality", US_national_yearly!$D:$AM, 31, FALSE) / VLOOKUP("industry|SO2|Infant mortality", US_national_yearly!$D:$AM, 10, FALSE), 1)</f>
        <v>2.4156878365288555E-6</v>
      </c>
      <c r="X3" s="7">
        <f>$B3 * IFERROR(VLOOKUP("industry|SO2|Infant mortality", US_national_yearly!$D:$AM, 32, FALSE) / VLOOKUP("industry|SO2|Infant mortality", US_national_yearly!$D:$AM, 10, FALSE), 1)</f>
        <v>2.4014441007256555E-6</v>
      </c>
      <c r="Y3" s="7">
        <f>$B3 * IFERROR(VLOOKUP("industry|SO2|Infant mortality", US_national_yearly!$D:$AM, 33, FALSE) / VLOOKUP("industry|SO2|Infant mortality", US_national_yearly!$D:$AM, 10, FALSE), 1)</f>
        <v>2.387200364922456E-6</v>
      </c>
      <c r="Z3" s="7">
        <f>$B3 * IFERROR(VLOOKUP("industry|SO2|Infant mortality", US_national_yearly!$D:$AM, 34, FALSE) / VLOOKUP("industry|SO2|Infant mortality", US_national_yearly!$D:$AM, 10, FALSE), 1)</f>
        <v>2.372956629119256E-6</v>
      </c>
      <c r="AA3" s="7">
        <f>$B3 * IFERROR(VLOOKUP("industry|SO2|Infant mortality", US_national_yearly!$D:$AM, 35, FALSE) / VLOOKUP("industry|SO2|Infant mortality", US_national_yearly!$D:$AM, 10, FALSE), 1)</f>
        <v>2.358712893316056E-6</v>
      </c>
      <c r="AB3" s="7">
        <f>$B3 * IFERROR(VLOOKUP("industry|SO2|Infant mortality", US_national_yearly!$D:$AM, 36, FALSE) / VLOOKUP("industry|SO2|Infant mortality", US_national_yearly!$D:$AM, 10, FALSE), 1)</f>
        <v>2.344469157512856E-6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9.5206414741401818E-3</v>
      </c>
      <c r="C6" s="7">
        <f>$B6 * IFERROR(VLOOKUP("industry|SO2|Asthma symptoms cough", US_national_yearly!$D:$AM, 11, FALSE) / VLOOKUP("industry|SO2|Asthma symptoms cough", US_national_yearly!$D:$AM, 10, FALSE), 1)</f>
        <v>9.5206414741401818E-3</v>
      </c>
      <c r="D6" s="7">
        <f>$B6 * IFERROR(VLOOKUP("industry|SO2|Asthma symptoms cough", US_national_yearly!$D:$AM, 12, FALSE) / VLOOKUP("industry|SO2|Asthma symptoms cough", US_national_yearly!$D:$AM, 10, FALSE), 1)</f>
        <v>9.5206414741401818E-3</v>
      </c>
      <c r="E6" s="7">
        <f>$B6 * IFERROR(VLOOKUP("industry|SO2|Asthma symptoms cough", US_national_yearly!$D:$AM, 13, FALSE) / VLOOKUP("industry|SO2|Asthma symptoms cough", US_national_yearly!$D:$AM, 10, FALSE), 1)</f>
        <v>9.5206414741401818E-3</v>
      </c>
      <c r="F6" s="7">
        <f>$B6 * IFERROR(VLOOKUP("industry|SO2|Asthma symptoms cough", US_national_yearly!$D:$AM, 14, FALSE) / VLOOKUP("industry|SO2|Asthma symptoms cough", US_national_yearly!$D:$AM, 10, FALSE), 1)</f>
        <v>9.5206414741401818E-3</v>
      </c>
      <c r="G6" s="7">
        <f>$B6 * IFERROR(VLOOKUP("industry|SO2|Asthma symptoms cough", US_national_yearly!$D:$AM, 15, FALSE) / VLOOKUP("industry|SO2|Asthma symptoms cough", US_national_yearly!$D:$AM, 10, FALSE), 1)</f>
        <v>9.5206414741401818E-3</v>
      </c>
      <c r="H6" s="7">
        <f>$B6 * IFERROR(VLOOKUP("industry|SO2|Asthma symptoms cough", US_national_yearly!$D:$AM, 16, FALSE) / VLOOKUP("industry|SO2|Asthma symptoms cough", US_national_yearly!$D:$AM, 10, FALSE), 1)</f>
        <v>9.5206414741401818E-3</v>
      </c>
      <c r="I6" s="7">
        <f>$B6 * IFERROR(VLOOKUP("industry|SO2|Asthma symptoms cough", US_national_yearly!$D:$AM, 17, FALSE) / VLOOKUP("industry|SO2|Asthma symptoms cough", US_national_yearly!$D:$AM, 10, FALSE), 1)</f>
        <v>9.5206414741401818E-3</v>
      </c>
      <c r="J6" s="7">
        <f>$B6 * IFERROR(VLOOKUP("industry|SO2|Asthma symptoms cough", US_national_yearly!$D:$AM, 18, FALSE) / VLOOKUP("industry|SO2|Asthma symptoms cough", US_national_yearly!$D:$AM, 10, FALSE), 1)</f>
        <v>9.5206414741401818E-3</v>
      </c>
      <c r="K6" s="7">
        <f>$B6 * IFERROR(VLOOKUP("industry|SO2|Asthma symptoms cough", US_national_yearly!$D:$AM, 19, FALSE) / VLOOKUP("industry|SO2|Asthma symptoms cough", US_national_yearly!$D:$AM, 10, FALSE), 1)</f>
        <v>9.5206414741401818E-3</v>
      </c>
      <c r="L6" s="7">
        <f>$B6 * IFERROR(VLOOKUP("industry|SO2|Asthma symptoms cough", US_national_yearly!$D:$AM, 20, FALSE) / VLOOKUP("industry|SO2|Asthma symptoms cough", US_national_yearly!$D:$AM, 10, FALSE), 1)</f>
        <v>9.5206414741401818E-3</v>
      </c>
      <c r="M6" s="7">
        <f>$B6 * IFERROR(VLOOKUP("industry|SO2|Asthma symptoms cough", US_national_yearly!$D:$AM, 21, FALSE) / VLOOKUP("industry|SO2|Asthma symptoms cough", US_national_yearly!$D:$AM, 10, FALSE), 1)</f>
        <v>9.5206414741401818E-3</v>
      </c>
      <c r="N6" s="7">
        <f>$B6 * IFERROR(VLOOKUP("industry|SO2|Asthma symptoms cough", US_national_yearly!$D:$AM, 22, FALSE) / VLOOKUP("industry|SO2|Asthma symptoms cough", US_national_yearly!$D:$AM, 10, FALSE), 1)</f>
        <v>9.5206414741401818E-3</v>
      </c>
      <c r="O6" s="7">
        <f>$B6 * IFERROR(VLOOKUP("industry|SO2|Asthma symptoms cough", US_national_yearly!$D:$AM, 23, FALSE) / VLOOKUP("industry|SO2|Asthma symptoms cough", US_national_yearly!$D:$AM, 10, FALSE), 1)</f>
        <v>9.5206414741401818E-3</v>
      </c>
      <c r="P6" s="7">
        <f>$B6 * IFERROR(VLOOKUP("industry|SO2|Asthma symptoms cough", US_national_yearly!$D:$AM, 24, FALSE) / VLOOKUP("industry|SO2|Asthma symptoms cough", US_national_yearly!$D:$AM, 10, FALSE), 1)</f>
        <v>9.5206414741401818E-3</v>
      </c>
      <c r="Q6" s="7">
        <f>$B6 * IFERROR(VLOOKUP("industry|SO2|Asthma symptoms cough", US_national_yearly!$D:$AM, 25, FALSE) / VLOOKUP("industry|SO2|Asthma symptoms cough", US_national_yearly!$D:$AM, 10, FALSE), 1)</f>
        <v>9.5206414741401818E-3</v>
      </c>
      <c r="R6" s="7">
        <f>$B6 * IFERROR(VLOOKUP("industry|SO2|Asthma symptoms cough", US_national_yearly!$D:$AM, 26, FALSE) / VLOOKUP("industry|SO2|Asthma symptoms cough", US_national_yearly!$D:$AM, 10, FALSE), 1)</f>
        <v>9.5206414741401818E-3</v>
      </c>
      <c r="S6" s="7">
        <f>$B6 * IFERROR(VLOOKUP("industry|SO2|Asthma symptoms cough", US_national_yearly!$D:$AM, 27, FALSE) / VLOOKUP("industry|SO2|Asthma symptoms cough", US_national_yearly!$D:$AM, 10, FALSE), 1)</f>
        <v>9.5206414741401818E-3</v>
      </c>
      <c r="T6" s="7">
        <f>$B6 * IFERROR(VLOOKUP("industry|SO2|Asthma symptoms cough", US_national_yearly!$D:$AM, 28, FALSE) / VLOOKUP("industry|SO2|Asthma symptoms cough", US_national_yearly!$D:$AM, 10, FALSE), 1)</f>
        <v>9.5206414741401818E-3</v>
      </c>
      <c r="U6" s="7">
        <f>$B6 * IFERROR(VLOOKUP("industry|SO2|Asthma symptoms cough", US_national_yearly!$D:$AM, 29, FALSE) / VLOOKUP("industry|SO2|Asthma symptoms cough", US_national_yearly!$D:$AM, 10, FALSE), 1)</f>
        <v>9.5206414741401818E-3</v>
      </c>
      <c r="V6" s="7">
        <f>$B6 * IFERROR(VLOOKUP("industry|SO2|Asthma symptoms cough", US_national_yearly!$D:$AM, 30, FALSE) / VLOOKUP("industry|SO2|Asthma symptoms cough", US_national_yearly!$D:$AM, 10, FALSE), 1)</f>
        <v>9.5206414741401818E-3</v>
      </c>
      <c r="W6" s="7">
        <f>$B6 * IFERROR(VLOOKUP("industry|SO2|Asthma symptoms cough", US_national_yearly!$D:$AM, 31, FALSE) / VLOOKUP("industry|SO2|Asthma symptoms cough", US_national_yearly!$D:$AM, 10, FALSE), 1)</f>
        <v>9.5206414741401818E-3</v>
      </c>
      <c r="X6" s="7">
        <f>$B6 * IFERROR(VLOOKUP("industry|SO2|Asthma symptoms cough", US_national_yearly!$D:$AM, 32, FALSE) / VLOOKUP("industry|SO2|Asthma symptoms cough", US_national_yearly!$D:$AM, 10, FALSE), 1)</f>
        <v>9.5206414741401818E-3</v>
      </c>
      <c r="Y6" s="7">
        <f>$B6 * IFERROR(VLOOKUP("industry|SO2|Asthma symptoms cough", US_national_yearly!$D:$AM, 33, FALSE) / VLOOKUP("industry|SO2|Asthma symptoms cough", US_national_yearly!$D:$AM, 10, FALSE), 1)</f>
        <v>9.5206414741401818E-3</v>
      </c>
      <c r="Z6" s="7">
        <f>$B6 * IFERROR(VLOOKUP("industry|SO2|Asthma symptoms cough", US_national_yearly!$D:$AM, 34, FALSE) / VLOOKUP("industry|SO2|Asthma symptoms cough", US_national_yearly!$D:$AM, 10, FALSE), 1)</f>
        <v>9.5206414741401818E-3</v>
      </c>
      <c r="AA6" s="7">
        <f>$B6 * IFERROR(VLOOKUP("industry|SO2|Asthma symptoms cough", US_national_yearly!$D:$AM, 35, FALSE) / VLOOKUP("industry|SO2|Asthma symptoms cough", US_national_yearly!$D:$AM, 10, FALSE), 1)</f>
        <v>9.5206414741401818E-3</v>
      </c>
      <c r="AB6" s="7">
        <f>$B6 * IFERROR(VLOOKUP("industry|SO2|Asthma symptoms cough", US_national_yearly!$D:$AM, 36, FALSE) / VLOOKUP("industry|SO2|Asthma symptoms cough", US_national_yearly!$D:$AM, 10, FALSE), 1)</f>
        <v>9.5206414741401818E-3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1.2820801311843686E-2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1.2820801311843686E-2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1.2820801311843686E-2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1.2820801311843686E-2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1.2820801311843686E-2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1.2820801311843686E-2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1.2820801311843686E-2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1.2820801311843686E-2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1.2820801311843686E-2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1.2820801311843686E-2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1.2820801311843686E-2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1.2820801311843686E-2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1.2820801311843686E-2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1.2820801311843686E-2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1.2820801311843686E-2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1.2820801311843686E-2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1.2820801311843686E-2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1.2820801311843686E-2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1.2820801311843686E-2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1.2820801311843686E-2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1.2820801311843686E-2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1.2820801311843686E-2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1.2820801311843686E-2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1.2820801311843686E-2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1.2820801311843686E-2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1.2820801311843686E-2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1.2820801311843686E-2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1.9588453554685845E-2</v>
      </c>
      <c r="C8" s="7">
        <f>$B8 * IFERROR(VLOOKUP("industry|SO2|Asthma symptoms wheeze", US_national_yearly!$D:$AM, 11, FALSE) / VLOOKUP("industry|SO2|Asthma symptoms wheeze", US_national_yearly!$D:$AM, 10, FALSE), 1)</f>
        <v>1.9588453554685845E-2</v>
      </c>
      <c r="D8" s="7">
        <f>$B8 * IFERROR(VLOOKUP("industry|SO2|Asthma symptoms wheeze", US_national_yearly!$D:$AM, 12, FALSE) / VLOOKUP("industry|SO2|Asthma symptoms wheeze", US_national_yearly!$D:$AM, 10, FALSE), 1)</f>
        <v>1.9588453554685845E-2</v>
      </c>
      <c r="E8" s="7">
        <f>$B8 * IFERROR(VLOOKUP("industry|SO2|Asthma symptoms wheeze", US_national_yearly!$D:$AM, 13, FALSE) / VLOOKUP("industry|SO2|Asthma symptoms wheeze", US_national_yearly!$D:$AM, 10, FALSE), 1)</f>
        <v>1.9588453554685845E-2</v>
      </c>
      <c r="F8" s="7">
        <f>$B8 * IFERROR(VLOOKUP("industry|SO2|Asthma symptoms wheeze", US_national_yearly!$D:$AM, 14, FALSE) / VLOOKUP("industry|SO2|Asthma symptoms wheeze", US_national_yearly!$D:$AM, 10, FALSE), 1)</f>
        <v>1.9588453554685845E-2</v>
      </c>
      <c r="G8" s="7">
        <f>$B8 * IFERROR(VLOOKUP("industry|SO2|Asthma symptoms wheeze", US_national_yearly!$D:$AM, 15, FALSE) / VLOOKUP("industry|SO2|Asthma symptoms wheeze", US_national_yearly!$D:$AM, 10, FALSE), 1)</f>
        <v>1.9588453554685845E-2</v>
      </c>
      <c r="H8" s="7">
        <f>$B8 * IFERROR(VLOOKUP("industry|SO2|Asthma symptoms wheeze", US_national_yearly!$D:$AM, 16, FALSE) / VLOOKUP("industry|SO2|Asthma symptoms wheeze", US_national_yearly!$D:$AM, 10, FALSE), 1)</f>
        <v>1.9588453554685845E-2</v>
      </c>
      <c r="I8" s="7">
        <f>$B8 * IFERROR(VLOOKUP("industry|SO2|Asthma symptoms wheeze", US_national_yearly!$D:$AM, 17, FALSE) / VLOOKUP("industry|SO2|Asthma symptoms wheeze", US_national_yearly!$D:$AM, 10, FALSE), 1)</f>
        <v>1.9588453554685845E-2</v>
      </c>
      <c r="J8" s="7">
        <f>$B8 * IFERROR(VLOOKUP("industry|SO2|Asthma symptoms wheeze", US_national_yearly!$D:$AM, 18, FALSE) / VLOOKUP("industry|SO2|Asthma symptoms wheeze", US_national_yearly!$D:$AM, 10, FALSE), 1)</f>
        <v>1.9588453554685845E-2</v>
      </c>
      <c r="K8" s="7">
        <f>$B8 * IFERROR(VLOOKUP("industry|SO2|Asthma symptoms wheeze", US_national_yearly!$D:$AM, 19, FALSE) / VLOOKUP("industry|SO2|Asthma symptoms wheeze", US_national_yearly!$D:$AM, 10, FALSE), 1)</f>
        <v>1.9588453554685845E-2</v>
      </c>
      <c r="L8" s="7">
        <f>$B8 * IFERROR(VLOOKUP("industry|SO2|Asthma symptoms wheeze", US_national_yearly!$D:$AM, 20, FALSE) / VLOOKUP("industry|SO2|Asthma symptoms wheeze", US_national_yearly!$D:$AM, 10, FALSE), 1)</f>
        <v>1.9588453554685845E-2</v>
      </c>
      <c r="M8" s="7">
        <f>$B8 * IFERROR(VLOOKUP("industry|SO2|Asthma symptoms wheeze", US_national_yearly!$D:$AM, 21, FALSE) / VLOOKUP("industry|SO2|Asthma symptoms wheeze", US_national_yearly!$D:$AM, 10, FALSE), 1)</f>
        <v>1.9588453554685845E-2</v>
      </c>
      <c r="N8" s="7">
        <f>$B8 * IFERROR(VLOOKUP("industry|SO2|Asthma symptoms wheeze", US_national_yearly!$D:$AM, 22, FALSE) / VLOOKUP("industry|SO2|Asthma symptoms wheeze", US_national_yearly!$D:$AM, 10, FALSE), 1)</f>
        <v>1.9588453554685845E-2</v>
      </c>
      <c r="O8" s="7">
        <f>$B8 * IFERROR(VLOOKUP("industry|SO2|Asthma symptoms wheeze", US_national_yearly!$D:$AM, 23, FALSE) / VLOOKUP("industry|SO2|Asthma symptoms wheeze", US_national_yearly!$D:$AM, 10, FALSE), 1)</f>
        <v>1.9588453554685845E-2</v>
      </c>
      <c r="P8" s="7">
        <f>$B8 * IFERROR(VLOOKUP("industry|SO2|Asthma symptoms wheeze", US_national_yearly!$D:$AM, 24, FALSE) / VLOOKUP("industry|SO2|Asthma symptoms wheeze", US_national_yearly!$D:$AM, 10, FALSE), 1)</f>
        <v>1.9588453554685845E-2</v>
      </c>
      <c r="Q8" s="7">
        <f>$B8 * IFERROR(VLOOKUP("industry|SO2|Asthma symptoms wheeze", US_national_yearly!$D:$AM, 25, FALSE) / VLOOKUP("industry|SO2|Asthma symptoms wheeze", US_national_yearly!$D:$AM, 10, FALSE), 1)</f>
        <v>1.9588453554685845E-2</v>
      </c>
      <c r="R8" s="7">
        <f>$B8 * IFERROR(VLOOKUP("industry|SO2|Asthma symptoms wheeze", US_national_yearly!$D:$AM, 26, FALSE) / VLOOKUP("industry|SO2|Asthma symptoms wheeze", US_national_yearly!$D:$AM, 10, FALSE), 1)</f>
        <v>1.9588453554685845E-2</v>
      </c>
      <c r="S8" s="7">
        <f>$B8 * IFERROR(VLOOKUP("industry|SO2|Asthma symptoms wheeze", US_national_yearly!$D:$AM, 27, FALSE) / VLOOKUP("industry|SO2|Asthma symptoms wheeze", US_national_yearly!$D:$AM, 10, FALSE), 1)</f>
        <v>1.9588453554685845E-2</v>
      </c>
      <c r="T8" s="7">
        <f>$B8 * IFERROR(VLOOKUP("industry|SO2|Asthma symptoms wheeze", US_national_yearly!$D:$AM, 28, FALSE) / VLOOKUP("industry|SO2|Asthma symptoms wheeze", US_national_yearly!$D:$AM, 10, FALSE), 1)</f>
        <v>1.9588453554685845E-2</v>
      </c>
      <c r="U8" s="7">
        <f>$B8 * IFERROR(VLOOKUP("industry|SO2|Asthma symptoms wheeze", US_national_yearly!$D:$AM, 29, FALSE) / VLOOKUP("industry|SO2|Asthma symptoms wheeze", US_national_yearly!$D:$AM, 10, FALSE), 1)</f>
        <v>1.9588453554685845E-2</v>
      </c>
      <c r="V8" s="7">
        <f>$B8 * IFERROR(VLOOKUP("industry|SO2|Asthma symptoms wheeze", US_national_yearly!$D:$AM, 30, FALSE) / VLOOKUP("industry|SO2|Asthma symptoms wheeze", US_national_yearly!$D:$AM, 10, FALSE), 1)</f>
        <v>1.9588453554685845E-2</v>
      </c>
      <c r="W8" s="7">
        <f>$B8 * IFERROR(VLOOKUP("industry|SO2|Asthma symptoms wheeze", US_national_yearly!$D:$AM, 31, FALSE) / VLOOKUP("industry|SO2|Asthma symptoms wheeze", US_national_yearly!$D:$AM, 10, FALSE), 1)</f>
        <v>1.9588453554685845E-2</v>
      </c>
      <c r="X8" s="7">
        <f>$B8 * IFERROR(VLOOKUP("industry|SO2|Asthma symptoms wheeze", US_national_yearly!$D:$AM, 32, FALSE) / VLOOKUP("industry|SO2|Asthma symptoms wheeze", US_national_yearly!$D:$AM, 10, FALSE), 1)</f>
        <v>1.9588453554685845E-2</v>
      </c>
      <c r="Y8" s="7">
        <f>$B8 * IFERROR(VLOOKUP("industry|SO2|Asthma symptoms wheeze", US_national_yearly!$D:$AM, 33, FALSE) / VLOOKUP("industry|SO2|Asthma symptoms wheeze", US_national_yearly!$D:$AM, 10, FALSE), 1)</f>
        <v>1.9588453554685845E-2</v>
      </c>
      <c r="Z8" s="7">
        <f>$B8 * IFERROR(VLOOKUP("industry|SO2|Asthma symptoms wheeze", US_national_yearly!$D:$AM, 34, FALSE) / VLOOKUP("industry|SO2|Asthma symptoms wheeze", US_national_yearly!$D:$AM, 10, FALSE), 1)</f>
        <v>1.9588453554685845E-2</v>
      </c>
      <c r="AA8" s="7">
        <f>$B8 * IFERROR(VLOOKUP("industry|SO2|Asthma symptoms wheeze", US_national_yearly!$D:$AM, 35, FALSE) / VLOOKUP("industry|SO2|Asthma symptoms wheeze", US_national_yearly!$D:$AM, 10, FALSE), 1)</f>
        <v>1.9588453554685845E-2</v>
      </c>
      <c r="AB8" s="7">
        <f>$B8 * IFERROR(VLOOKUP("industry|SO2|Asthma symptoms wheeze", US_national_yearly!$D:$AM, 36, FALSE) / VLOOKUP("industry|SO2|Asthma symptoms wheeze", US_national_yearly!$D:$AM, 10, FALSE), 1)</f>
        <v>1.9588453554685845E-2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2.0494218246730971E-4</v>
      </c>
      <c r="C12" s="7">
        <f>$B12 * IFERROR(VLOOKUP("industry|SO2|Respiratory hospital admissions", US_national_yearly!$D:$AM, 11, FALSE) / VLOOKUP("industry|SO2|Respiratory hospital admissions", US_national_yearly!$D:$AM, 10, FALSE), 1)</f>
        <v>2.0614275241137033E-4</v>
      </c>
      <c r="D12" s="7">
        <f>$B12 * IFERROR(VLOOKUP("industry|SO2|Respiratory hospital admissions", US_national_yearly!$D:$AM, 12, FALSE) / VLOOKUP("industry|SO2|Respiratory hospital admissions", US_national_yearly!$D:$AM, 10, FALSE), 1)</f>
        <v>2.0734332235543092E-4</v>
      </c>
      <c r="E12" s="7">
        <f>$B12 * IFERROR(VLOOKUP("industry|SO2|Respiratory hospital admissions", US_national_yearly!$D:$AM, 13, FALSE) / VLOOKUP("industry|SO2|Respiratory hospital admissions", US_national_yearly!$D:$AM, 10, FALSE), 1)</f>
        <v>2.0854389229949154E-4</v>
      </c>
      <c r="F12" s="7">
        <f>$B12 * IFERROR(VLOOKUP("industry|SO2|Respiratory hospital admissions", US_national_yearly!$D:$AM, 14, FALSE) / VLOOKUP("industry|SO2|Respiratory hospital admissions", US_national_yearly!$D:$AM, 10, FALSE), 1)</f>
        <v>2.0974446224355218E-4</v>
      </c>
      <c r="G12" s="7">
        <f>$B12 * IFERROR(VLOOKUP("industry|SO2|Respiratory hospital admissions", US_national_yearly!$D:$AM, 15, FALSE) / VLOOKUP("industry|SO2|Respiratory hospital admissions", US_national_yearly!$D:$AM, 10, FALSE), 1)</f>
        <v>2.1105331572344665E-4</v>
      </c>
      <c r="H12" s="7">
        <f>$B12 * IFERROR(VLOOKUP("industry|SO2|Respiratory hospital admissions", US_national_yearly!$D:$AM, 16, FALSE) / VLOOKUP("industry|SO2|Respiratory hospital admissions", US_national_yearly!$D:$AM, 10, FALSE), 1)</f>
        <v>2.1236216920334113E-4</v>
      </c>
      <c r="I12" s="7">
        <f>$B12 * IFERROR(VLOOKUP("industry|SO2|Respiratory hospital admissions", US_national_yearly!$D:$AM, 17, FALSE) / VLOOKUP("industry|SO2|Respiratory hospital admissions", US_national_yearly!$D:$AM, 10, FALSE), 1)</f>
        <v>2.136476779347706E-4</v>
      </c>
      <c r="J12" s="7">
        <f>$B12 * IFERROR(VLOOKUP("industry|SO2|Respiratory hospital admissions", US_national_yearly!$D:$AM, 18, FALSE) / VLOOKUP("industry|SO2|Respiratory hospital admissions", US_national_yearly!$D:$AM, 10, FALSE), 1)</f>
        <v>2.1493318666620007E-4</v>
      </c>
      <c r="K12" s="7">
        <f>$B12 * IFERROR(VLOOKUP("industry|SO2|Respiratory hospital admissions", US_national_yearly!$D:$AM, 19, FALSE) / VLOOKUP("industry|SO2|Respiratory hospital admissions", US_national_yearly!$D:$AM, 10, FALSE), 1)</f>
        <v>2.1621869539762949E-4</v>
      </c>
      <c r="L12" s="7">
        <f>$B12 * IFERROR(VLOOKUP("industry|SO2|Respiratory hospital admissions", US_national_yearly!$D:$AM, 20, FALSE) / VLOOKUP("industry|SO2|Respiratory hospital admissions", US_national_yearly!$D:$AM, 10, FALSE), 1)</f>
        <v>2.1750420412905896E-4</v>
      </c>
      <c r="M12" s="7">
        <f>$B12 * IFERROR(VLOOKUP("industry|SO2|Respiratory hospital admissions", US_national_yearly!$D:$AM, 21, FALSE) / VLOOKUP("industry|SO2|Respiratory hospital admissions", US_national_yearly!$D:$AM, 10, FALSE), 1)</f>
        <v>2.1878971286048841E-4</v>
      </c>
      <c r="N12" s="7">
        <f>$B12 * IFERROR(VLOOKUP("industry|SO2|Respiratory hospital admissions", US_national_yearly!$D:$AM, 22, FALSE) / VLOOKUP("industry|SO2|Respiratory hospital admissions", US_national_yearly!$D:$AM, 10, FALSE), 1)</f>
        <v>2.1971992507225385E-4</v>
      </c>
      <c r="O12" s="7">
        <f>$B12 * IFERROR(VLOOKUP("industry|SO2|Respiratory hospital admissions", US_national_yearly!$D:$AM, 23, FALSE) / VLOOKUP("industry|SO2|Respiratory hospital admissions", US_national_yearly!$D:$AM, 10, FALSE), 1)</f>
        <v>2.206501372840193E-4</v>
      </c>
      <c r="P12" s="7">
        <f>$B12 * IFERROR(VLOOKUP("industry|SO2|Respiratory hospital admissions", US_national_yearly!$D:$AM, 24, FALSE) / VLOOKUP("industry|SO2|Respiratory hospital admissions", US_national_yearly!$D:$AM, 10, FALSE), 1)</f>
        <v>2.2158034949578469E-4</v>
      </c>
      <c r="Q12" s="7">
        <f>$B12 * IFERROR(VLOOKUP("industry|SO2|Respiratory hospital admissions", US_national_yearly!$D:$AM, 25, FALSE) / VLOOKUP("industry|SO2|Respiratory hospital admissions", US_national_yearly!$D:$AM, 10, FALSE), 1)</f>
        <v>2.2251056170755014E-4</v>
      </c>
      <c r="R12" s="7">
        <f>$B12 * IFERROR(VLOOKUP("industry|SO2|Respiratory hospital admissions", US_national_yearly!$D:$AM, 26, FALSE) / VLOOKUP("industry|SO2|Respiratory hospital admissions", US_national_yearly!$D:$AM, 10, FALSE), 1)</f>
        <v>2.2344077391931553E-4</v>
      </c>
      <c r="S12" s="7">
        <f>$B12 * IFERROR(VLOOKUP("industry|SO2|Respiratory hospital admissions", US_national_yearly!$D:$AM, 27, FALSE) / VLOOKUP("industry|SO2|Respiratory hospital admissions", US_national_yearly!$D:$AM, 10, FALSE), 1)</f>
        <v>2.2432479843666219E-4</v>
      </c>
      <c r="T12" s="7">
        <f>$B12 * IFERROR(VLOOKUP("industry|SO2|Respiratory hospital admissions", US_national_yearly!$D:$AM, 28, FALSE) / VLOOKUP("industry|SO2|Respiratory hospital admissions", US_national_yearly!$D:$AM, 10, FALSE), 1)</f>
        <v>2.252088229540088E-4</v>
      </c>
      <c r="U12" s="7">
        <f>$B12 * IFERROR(VLOOKUP("industry|SO2|Respiratory hospital admissions", US_national_yearly!$D:$AM, 29, FALSE) / VLOOKUP("industry|SO2|Respiratory hospital admissions", US_national_yearly!$D:$AM, 10, FALSE), 1)</f>
        <v>2.2609284747135544E-4</v>
      </c>
      <c r="V12" s="7">
        <f>$B12 * IFERROR(VLOOKUP("industry|SO2|Respiratory hospital admissions", US_national_yearly!$D:$AM, 30, FALSE) / VLOOKUP("industry|SO2|Respiratory hospital admissions", US_national_yearly!$D:$AM, 10, FALSE), 1)</f>
        <v>2.269768719887021E-4</v>
      </c>
      <c r="W12" s="7">
        <f>$B12 * IFERROR(VLOOKUP("industry|SO2|Respiratory hospital admissions", US_national_yearly!$D:$AM, 31, FALSE) / VLOOKUP("industry|SO2|Respiratory hospital admissions", US_national_yearly!$D:$AM, 10, FALSE), 1)</f>
        <v>2.2786089650604874E-4</v>
      </c>
      <c r="X12" s="7">
        <f>$B12 * IFERROR(VLOOKUP("industry|SO2|Respiratory hospital admissions", US_national_yearly!$D:$AM, 32, FALSE) / VLOOKUP("industry|SO2|Respiratory hospital admissions", US_national_yearly!$D:$AM, 10, FALSE), 1)</f>
        <v>2.2870037946743781E-4</v>
      </c>
      <c r="Y12" s="7">
        <f>$B12 * IFERROR(VLOOKUP("industry|SO2|Respiratory hospital admissions", US_national_yearly!$D:$AM, 33, FALSE) / VLOOKUP("industry|SO2|Respiratory hospital admissions", US_national_yearly!$D:$AM, 10, FALSE), 1)</f>
        <v>2.2953986242882693E-4</v>
      </c>
      <c r="Z12" s="7">
        <f>$B12 * IFERROR(VLOOKUP("industry|SO2|Respiratory hospital admissions", US_national_yearly!$D:$AM, 34, FALSE) / VLOOKUP("industry|SO2|Respiratory hospital admissions", US_national_yearly!$D:$AM, 10, FALSE), 1)</f>
        <v>2.3037934539021601E-4</v>
      </c>
      <c r="AA12" s="7">
        <f>$B12 * IFERROR(VLOOKUP("industry|SO2|Respiratory hospital admissions", US_national_yearly!$D:$AM, 35, FALSE) / VLOOKUP("industry|SO2|Respiratory hospital admissions", US_national_yearly!$D:$AM, 10, FALSE), 1)</f>
        <v>2.312188283516051E-4</v>
      </c>
      <c r="AB12" s="7">
        <f>$B12 * IFERROR(VLOOKUP("industry|SO2|Respiratory hospital admissions", US_national_yearly!$D:$AM, 36, FALSE) / VLOOKUP("industry|SO2|Respiratory hospital admissions", US_national_yearly!$D:$AM, 10, FALSE), 1)</f>
        <v>2.3205831131299423E-4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1.3865514769464623E-3</v>
      </c>
      <c r="C13" s="7">
        <f>$B13 * IFERROR(VLOOKUP("industry|SO2|Non-fatal heart attacks", US_national_yearly!$D:$AM, 11, FALSE) / VLOOKUP("industry|SO2|Non-fatal heart attacks", US_national_yearly!$D:$AM, 10, FALSE), 1)</f>
        <v>1.427255428830945E-3</v>
      </c>
      <c r="D13" s="7">
        <f>$B13 * IFERROR(VLOOKUP("industry|SO2|Non-fatal heart attacks", US_national_yearly!$D:$AM, 12, FALSE) / VLOOKUP("industry|SO2|Non-fatal heart attacks", US_national_yearly!$D:$AM, 10, FALSE), 1)</f>
        <v>1.4679593807154275E-3</v>
      </c>
      <c r="E13" s="7">
        <f>$B13 * IFERROR(VLOOKUP("industry|SO2|Non-fatal heart attacks", US_national_yearly!$D:$AM, 13, FALSE) / VLOOKUP("industry|SO2|Non-fatal heart attacks", US_national_yearly!$D:$AM, 10, FALSE), 1)</f>
        <v>1.50866333259991E-3</v>
      </c>
      <c r="F13" s="7">
        <f>$B13 * IFERROR(VLOOKUP("industry|SO2|Non-fatal heart attacks", US_national_yearly!$D:$AM, 14, FALSE) / VLOOKUP("industry|SO2|Non-fatal heart attacks", US_national_yearly!$D:$AM, 10, FALSE), 1)</f>
        <v>1.5493672844843929E-3</v>
      </c>
      <c r="G13" s="7">
        <f>$B13 * IFERROR(VLOOKUP("industry|SO2|Non-fatal heart attacks", US_national_yearly!$D:$AM, 15, FALSE) / VLOOKUP("industry|SO2|Non-fatal heart attacks", US_national_yearly!$D:$AM, 10, FALSE), 1)</f>
        <v>1.5877804123355125E-3</v>
      </c>
      <c r="H13" s="7">
        <f>$B13 * IFERROR(VLOOKUP("industry|SO2|Non-fatal heart attacks", US_national_yearly!$D:$AM, 16, FALSE) / VLOOKUP("industry|SO2|Non-fatal heart attacks", US_national_yearly!$D:$AM, 10, FALSE), 1)</f>
        <v>1.6261935401866324E-3</v>
      </c>
      <c r="I13" s="7">
        <f>$B13 * IFERROR(VLOOKUP("industry|SO2|Non-fatal heart attacks", US_national_yearly!$D:$AM, 17, FALSE) / VLOOKUP("industry|SO2|Non-fatal heart attacks", US_national_yearly!$D:$AM, 10, FALSE), 1)</f>
        <v>1.6571611703183958E-3</v>
      </c>
      <c r="J13" s="7">
        <f>$B13 * IFERROR(VLOOKUP("industry|SO2|Non-fatal heart attacks", US_national_yearly!$D:$AM, 18, FALSE) / VLOOKUP("industry|SO2|Non-fatal heart attacks", US_national_yearly!$D:$AM, 10, FALSE), 1)</f>
        <v>1.68812880045016E-3</v>
      </c>
      <c r="K13" s="7">
        <f>$B13 * IFERROR(VLOOKUP("industry|SO2|Non-fatal heart attacks", US_national_yearly!$D:$AM, 19, FALSE) / VLOOKUP("industry|SO2|Non-fatal heart attacks", US_national_yearly!$D:$AM, 10, FALSE), 1)</f>
        <v>1.7190964305819237E-3</v>
      </c>
      <c r="L13" s="7">
        <f>$B13 * IFERROR(VLOOKUP("industry|SO2|Non-fatal heart attacks", US_national_yearly!$D:$AM, 20, FALSE) / VLOOKUP("industry|SO2|Non-fatal heart attacks", US_national_yearly!$D:$AM, 10, FALSE), 1)</f>
        <v>1.7500640607136875E-3</v>
      </c>
      <c r="M13" s="7">
        <f>$B13 * IFERROR(VLOOKUP("industry|SO2|Non-fatal heart attacks", US_national_yearly!$D:$AM, 21, FALSE) / VLOOKUP("industry|SO2|Non-fatal heart attacks", US_national_yearly!$D:$AM, 10, FALSE), 1)</f>
        <v>1.7810316908454514E-3</v>
      </c>
      <c r="N13" s="7">
        <f>$B13 * IFERROR(VLOOKUP("industry|SO2|Non-fatal heart attacks", US_national_yearly!$D:$AM, 22, FALSE) / VLOOKUP("industry|SO2|Non-fatal heart attacks", US_national_yearly!$D:$AM, 10, FALSE), 1)</f>
        <v>1.8011499132080157E-3</v>
      </c>
      <c r="O13" s="7">
        <f>$B13 * IFERROR(VLOOKUP("industry|SO2|Non-fatal heart attacks", US_national_yearly!$D:$AM, 23, FALSE) / VLOOKUP("industry|SO2|Non-fatal heart attacks", US_national_yearly!$D:$AM, 10, FALSE), 1)</f>
        <v>1.8212681355705804E-3</v>
      </c>
      <c r="P13" s="7">
        <f>$B13 * IFERROR(VLOOKUP("industry|SO2|Non-fatal heart attacks", US_national_yearly!$D:$AM, 24, FALSE) / VLOOKUP("industry|SO2|Non-fatal heart attacks", US_national_yearly!$D:$AM, 10, FALSE), 1)</f>
        <v>1.8413863579331447E-3</v>
      </c>
      <c r="Q13" s="7">
        <f>$B13 * IFERROR(VLOOKUP("industry|SO2|Non-fatal heart attacks", US_national_yearly!$D:$AM, 25, FALSE) / VLOOKUP("industry|SO2|Non-fatal heart attacks", US_national_yearly!$D:$AM, 10, FALSE), 1)</f>
        <v>1.8615045802957088E-3</v>
      </c>
      <c r="R13" s="7">
        <f>$B13 * IFERROR(VLOOKUP("industry|SO2|Non-fatal heart attacks", US_national_yearly!$D:$AM, 26, FALSE) / VLOOKUP("industry|SO2|Non-fatal heart attacks", US_national_yearly!$D:$AM, 10, FALSE), 1)</f>
        <v>1.8816228026582733E-3</v>
      </c>
      <c r="S13" s="7">
        <f>$B13 * IFERROR(VLOOKUP("industry|SO2|Non-fatal heart attacks", US_national_yearly!$D:$AM, 27, FALSE) / VLOOKUP("industry|SO2|Non-fatal heart attacks", US_national_yearly!$D:$AM, 10, FALSE), 1)</f>
        <v>1.8921891888406606E-3</v>
      </c>
      <c r="T13" s="7">
        <f>$B13 * IFERROR(VLOOKUP("industry|SO2|Non-fatal heart attacks", US_national_yearly!$D:$AM, 28, FALSE) / VLOOKUP("industry|SO2|Non-fatal heart attacks", US_national_yearly!$D:$AM, 10, FALSE), 1)</f>
        <v>1.902755575023048E-3</v>
      </c>
      <c r="U13" s="7">
        <f>$B13 * IFERROR(VLOOKUP("industry|SO2|Non-fatal heart attacks", US_national_yearly!$D:$AM, 29, FALSE) / VLOOKUP("industry|SO2|Non-fatal heart attacks", US_national_yearly!$D:$AM, 10, FALSE), 1)</f>
        <v>1.9133219612054353E-3</v>
      </c>
      <c r="V13" s="7">
        <f>$B13 * IFERROR(VLOOKUP("industry|SO2|Non-fatal heart attacks", US_national_yearly!$D:$AM, 30, FALSE) / VLOOKUP("industry|SO2|Non-fatal heart attacks", US_national_yearly!$D:$AM, 10, FALSE), 1)</f>
        <v>1.9238883473878226E-3</v>
      </c>
      <c r="W13" s="7">
        <f>$B13 * IFERROR(VLOOKUP("industry|SO2|Non-fatal heart attacks", US_national_yearly!$D:$AM, 31, FALSE) / VLOOKUP("industry|SO2|Non-fatal heart attacks", US_national_yearly!$D:$AM, 10, FALSE), 1)</f>
        <v>1.9344547335702099E-3</v>
      </c>
      <c r="X13" s="7">
        <f>$B13 * IFERROR(VLOOKUP("industry|SO2|Non-fatal heart attacks", US_national_yearly!$D:$AM, 32, FALSE) / VLOOKUP("industry|SO2|Non-fatal heart attacks", US_national_yearly!$D:$AM, 10, FALSE), 1)</f>
        <v>1.9424795989604912E-3</v>
      </c>
      <c r="Y13" s="7">
        <f>$B13 * IFERROR(VLOOKUP("industry|SO2|Non-fatal heart attacks", US_national_yearly!$D:$AM, 33, FALSE) / VLOOKUP("industry|SO2|Non-fatal heart attacks", US_national_yearly!$D:$AM, 10, FALSE), 1)</f>
        <v>1.9505044643507725E-3</v>
      </c>
      <c r="Z13" s="7">
        <f>$B13 * IFERROR(VLOOKUP("industry|SO2|Non-fatal heart attacks", US_national_yearly!$D:$AM, 34, FALSE) / VLOOKUP("industry|SO2|Non-fatal heart attacks", US_national_yearly!$D:$AM, 10, FALSE), 1)</f>
        <v>1.9585293297410536E-3</v>
      </c>
      <c r="AA13" s="7">
        <f>$B13 * IFERROR(VLOOKUP("industry|SO2|Non-fatal heart attacks", US_national_yearly!$D:$AM, 35, FALSE) / VLOOKUP("industry|SO2|Non-fatal heart attacks", US_national_yearly!$D:$AM, 10, FALSE), 1)</f>
        <v>1.9665541951313353E-3</v>
      </c>
      <c r="AB13" s="7">
        <f>$B13 * IFERROR(VLOOKUP("industry|SO2|Non-fatal heart attacks", US_national_yearly!$D:$AM, 36, FALSE) / VLOOKUP("industry|SO2|Non-fatal heart attacks", US_national_yearly!$D:$AM, 10, FALSE), 1)</f>
        <v>1.9745790605216165E-3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1.1776546155405636</v>
      </c>
      <c r="C14" s="7">
        <f>$B14 * IFERROR(VLOOKUP("industry|SO2|Minor restricted activity days", US_national_yearly!$D:$AM, 11, FALSE) / VLOOKUP("industry|SO2|Minor restricted activity days", US_national_yearly!$D:$AM, 10, FALSE), 1)</f>
        <v>1.1806003878955813</v>
      </c>
      <c r="D14" s="7">
        <f>$B14 * IFERROR(VLOOKUP("industry|SO2|Minor restricted activity days", US_national_yearly!$D:$AM, 12, FALSE) / VLOOKUP("industry|SO2|Minor restricted activity days", US_national_yearly!$D:$AM, 10, FALSE), 1)</f>
        <v>1.1835461602505988</v>
      </c>
      <c r="E14" s="7">
        <f>$B14 * IFERROR(VLOOKUP("industry|SO2|Minor restricted activity days", US_national_yearly!$D:$AM, 13, FALSE) / VLOOKUP("industry|SO2|Minor restricted activity days", US_national_yearly!$D:$AM, 10, FALSE), 1)</f>
        <v>1.1864919326056165</v>
      </c>
      <c r="F14" s="7">
        <f>$B14 * IFERROR(VLOOKUP("industry|SO2|Minor restricted activity days", US_national_yearly!$D:$AM, 14, FALSE) / VLOOKUP("industry|SO2|Minor restricted activity days", US_national_yearly!$D:$AM, 10, FALSE), 1)</f>
        <v>1.1894377049606342</v>
      </c>
      <c r="G14" s="7">
        <f>$B14 * IFERROR(VLOOKUP("industry|SO2|Minor restricted activity days", US_national_yearly!$D:$AM, 15, FALSE) / VLOOKUP("industry|SO2|Minor restricted activity days", US_national_yearly!$D:$AM, 10, FALSE), 1)</f>
        <v>1.19377121678952</v>
      </c>
      <c r="H14" s="7">
        <f>$B14 * IFERROR(VLOOKUP("industry|SO2|Minor restricted activity days", US_national_yearly!$D:$AM, 16, FALSE) / VLOOKUP("industry|SO2|Minor restricted activity days", US_national_yearly!$D:$AM, 10, FALSE), 1)</f>
        <v>1.1981047286184054</v>
      </c>
      <c r="I14" s="7">
        <f>$B14 * IFERROR(VLOOKUP("industry|SO2|Minor restricted activity days", US_national_yearly!$D:$AM, 17, FALSE) / VLOOKUP("industry|SO2|Minor restricted activity days", US_national_yearly!$D:$AM, 10, FALSE), 1)</f>
        <v>1.2054946770751531</v>
      </c>
      <c r="J14" s="7">
        <f>$B14 * IFERROR(VLOOKUP("industry|SO2|Minor restricted activity days", US_national_yearly!$D:$AM, 18, FALSE) / VLOOKUP("industry|SO2|Minor restricted activity days", US_national_yearly!$D:$AM, 10, FALSE), 1)</f>
        <v>1.2128846255319008</v>
      </c>
      <c r="K14" s="7">
        <f>$B14 * IFERROR(VLOOKUP("industry|SO2|Minor restricted activity days", US_national_yearly!$D:$AM, 19, FALSE) / VLOOKUP("industry|SO2|Minor restricted activity days", US_national_yearly!$D:$AM, 10, FALSE), 1)</f>
        <v>1.2202745739886487</v>
      </c>
      <c r="L14" s="7">
        <f>$B14 * IFERROR(VLOOKUP("industry|SO2|Minor restricted activity days", US_national_yearly!$D:$AM, 20, FALSE) / VLOOKUP("industry|SO2|Minor restricted activity days", US_national_yearly!$D:$AM, 10, FALSE), 1)</f>
        <v>1.2276645224453964</v>
      </c>
      <c r="M14" s="7">
        <f>$B14 * IFERROR(VLOOKUP("industry|SO2|Minor restricted activity days", US_national_yearly!$D:$AM, 21, FALSE) / VLOOKUP("industry|SO2|Minor restricted activity days", US_national_yearly!$D:$AM, 10, FALSE), 1)</f>
        <v>1.235054470902144</v>
      </c>
      <c r="N14" s="7">
        <f>$B14 * IFERROR(VLOOKUP("industry|SO2|Minor restricted activity days", US_national_yearly!$D:$AM, 22, FALSE) / VLOOKUP("industry|SO2|Minor restricted activity days", US_national_yearly!$D:$AM, 10, FALSE), 1)</f>
        <v>1.2451869790048897</v>
      </c>
      <c r="O14" s="7">
        <f>$B14 * IFERROR(VLOOKUP("industry|SO2|Minor restricted activity days", US_national_yearly!$D:$AM, 23, FALSE) / VLOOKUP("industry|SO2|Minor restricted activity days", US_national_yearly!$D:$AM, 10, FALSE), 1)</f>
        <v>1.2553194871076352</v>
      </c>
      <c r="P14" s="7">
        <f>$B14 * IFERROR(VLOOKUP("industry|SO2|Minor restricted activity days", US_national_yearly!$D:$AM, 24, FALSE) / VLOOKUP("industry|SO2|Minor restricted activity days", US_national_yearly!$D:$AM, 10, FALSE), 1)</f>
        <v>1.2654519952103807</v>
      </c>
      <c r="Q14" s="7">
        <f>$B14 * IFERROR(VLOOKUP("industry|SO2|Minor restricted activity days", US_national_yearly!$D:$AM, 25, FALSE) / VLOOKUP("industry|SO2|Minor restricted activity days", US_national_yearly!$D:$AM, 10, FALSE), 1)</f>
        <v>1.2755845033131266</v>
      </c>
      <c r="R14" s="7">
        <f>$B14 * IFERROR(VLOOKUP("industry|SO2|Minor restricted activity days", US_national_yearly!$D:$AM, 26, FALSE) / VLOOKUP("industry|SO2|Minor restricted activity days", US_national_yearly!$D:$AM, 10, FALSE), 1)</f>
        <v>1.285717011415872</v>
      </c>
      <c r="S14" s="7">
        <f>$B14 * IFERROR(VLOOKUP("industry|SO2|Minor restricted activity days", US_national_yearly!$D:$AM, 27, FALSE) / VLOOKUP("industry|SO2|Minor restricted activity days", US_national_yearly!$D:$AM, 10, FALSE), 1)</f>
        <v>1.2960580542561817</v>
      </c>
      <c r="T14" s="7">
        <f>$B14 * IFERROR(VLOOKUP("industry|SO2|Minor restricted activity days", US_national_yearly!$D:$AM, 28, FALSE) / VLOOKUP("industry|SO2|Minor restricted activity days", US_national_yearly!$D:$AM, 10, FALSE), 1)</f>
        <v>1.3063990970964918</v>
      </c>
      <c r="U14" s="7">
        <f>$B14 * IFERROR(VLOOKUP("industry|SO2|Minor restricted activity days", US_national_yearly!$D:$AM, 29, FALSE) / VLOOKUP("industry|SO2|Minor restricted activity days", US_national_yearly!$D:$AM, 10, FALSE), 1)</f>
        <v>1.3167401399368015</v>
      </c>
      <c r="V14" s="7">
        <f>$B14 * IFERROR(VLOOKUP("industry|SO2|Minor restricted activity days", US_national_yearly!$D:$AM, 30, FALSE) / VLOOKUP("industry|SO2|Minor restricted activity days", US_national_yearly!$D:$AM, 10, FALSE), 1)</f>
        <v>1.3270811827771114</v>
      </c>
      <c r="W14" s="7">
        <f>$B14 * IFERROR(VLOOKUP("industry|SO2|Minor restricted activity days", US_national_yearly!$D:$AM, 31, FALSE) / VLOOKUP("industry|SO2|Minor restricted activity days", US_national_yearly!$D:$AM, 10, FALSE), 1)</f>
        <v>1.3374222256174211</v>
      </c>
      <c r="X14" s="7">
        <f>$B14 * IFERROR(VLOOKUP("industry|SO2|Minor restricted activity days", US_national_yearly!$D:$AM, 32, FALSE) / VLOOKUP("industry|SO2|Minor restricted activity days", US_national_yearly!$D:$AM, 10, FALSE), 1)</f>
        <v>1.3465150229694707</v>
      </c>
      <c r="Y14" s="7">
        <f>$B14 * IFERROR(VLOOKUP("industry|SO2|Minor restricted activity days", US_national_yearly!$D:$AM, 33, FALSE) / VLOOKUP("industry|SO2|Minor restricted activity days", US_national_yearly!$D:$AM, 10, FALSE), 1)</f>
        <v>1.3556078203215198</v>
      </c>
      <c r="Z14" s="7">
        <f>$B14 * IFERROR(VLOOKUP("industry|SO2|Minor restricted activity days", US_national_yearly!$D:$AM, 34, FALSE) / VLOOKUP("industry|SO2|Minor restricted activity days", US_national_yearly!$D:$AM, 10, FALSE), 1)</f>
        <v>1.3647006176735692</v>
      </c>
      <c r="AA14" s="7">
        <f>$B14 * IFERROR(VLOOKUP("industry|SO2|Minor restricted activity days", US_national_yearly!$D:$AM, 35, FALSE) / VLOOKUP("industry|SO2|Minor restricted activity days", US_national_yearly!$D:$AM, 10, FALSE), 1)</f>
        <v>1.3737934150256184</v>
      </c>
      <c r="AB14" s="7">
        <f>$B14 * IFERROR(VLOOKUP("industry|SO2|Minor restricted activity days", US_national_yearly!$D:$AM, 36, FALSE) / VLOOKUP("industry|SO2|Minor restricted activity days", US_national_yearly!$D:$AM, 10, FALSE), 1)</f>
        <v>1.3828862123776677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0.20011542163819099</v>
      </c>
      <c r="C15" s="7">
        <f>$B15 * IFERROR(VLOOKUP("industry|SO2|Work loss days", US_national_yearly!$D:$AM, 11, FALSE) / VLOOKUP("industry|SO2|Work loss days", US_national_yearly!$D:$AM, 10, FALSE), 1)</f>
        <v>0.2007589702257653</v>
      </c>
      <c r="D15" s="7">
        <f>$B15 * IFERROR(VLOOKUP("industry|SO2|Work loss days", US_national_yearly!$D:$AM, 12, FALSE) / VLOOKUP("industry|SO2|Work loss days", US_national_yearly!$D:$AM, 10, FALSE), 1)</f>
        <v>0.2014025188133397</v>
      </c>
      <c r="E15" s="7">
        <f>$B15 * IFERROR(VLOOKUP("industry|SO2|Work loss days", US_national_yearly!$D:$AM, 13, FALSE) / VLOOKUP("industry|SO2|Work loss days", US_national_yearly!$D:$AM, 10, FALSE), 1)</f>
        <v>0.20204606740091402</v>
      </c>
      <c r="F15" s="7">
        <f>$B15 * IFERROR(VLOOKUP("industry|SO2|Work loss days", US_national_yearly!$D:$AM, 14, FALSE) / VLOOKUP("industry|SO2|Work loss days", US_national_yearly!$D:$AM, 10, FALSE), 1)</f>
        <v>0.20268961598848845</v>
      </c>
      <c r="G15" s="7">
        <f>$B15 * IFERROR(VLOOKUP("industry|SO2|Work loss days", US_national_yearly!$D:$AM, 15, FALSE) / VLOOKUP("industry|SO2|Work loss days", US_national_yearly!$D:$AM, 10, FALSE), 1)</f>
        <v>0.20352962080669057</v>
      </c>
      <c r="H15" s="7">
        <f>$B15 * IFERROR(VLOOKUP("industry|SO2|Work loss days", US_national_yearly!$D:$AM, 16, FALSE) / VLOOKUP("industry|SO2|Work loss days", US_national_yearly!$D:$AM, 10, FALSE), 1)</f>
        <v>0.20436962562489278</v>
      </c>
      <c r="I15" s="7">
        <f>$B15 * IFERROR(VLOOKUP("industry|SO2|Work loss days", US_national_yearly!$D:$AM, 17, FALSE) / VLOOKUP("industry|SO2|Work loss days", US_national_yearly!$D:$AM, 10, FALSE), 1)</f>
        <v>0.20559747596761657</v>
      </c>
      <c r="J15" s="7">
        <f>$B15 * IFERROR(VLOOKUP("industry|SO2|Work loss days", US_national_yearly!$D:$AM, 18, FALSE) / VLOOKUP("industry|SO2|Work loss days", US_national_yearly!$D:$AM, 10, FALSE), 1)</f>
        <v>0.20682532631034031</v>
      </c>
      <c r="K15" s="7">
        <f>$B15 * IFERROR(VLOOKUP("industry|SO2|Work loss days", US_national_yearly!$D:$AM, 19, FALSE) / VLOOKUP("industry|SO2|Work loss days", US_national_yearly!$D:$AM, 10, FALSE), 1)</f>
        <v>0.20805317665306405</v>
      </c>
      <c r="L15" s="7">
        <f>$B15 * IFERROR(VLOOKUP("industry|SO2|Work loss days", US_national_yearly!$D:$AM, 20, FALSE) / VLOOKUP("industry|SO2|Work loss days", US_national_yearly!$D:$AM, 10, FALSE), 1)</f>
        <v>0.20928102699578785</v>
      </c>
      <c r="M15" s="7">
        <f>$B15 * IFERROR(VLOOKUP("industry|SO2|Work loss days", US_national_yearly!$D:$AM, 21, FALSE) / VLOOKUP("industry|SO2|Work loss days", US_national_yearly!$D:$AM, 10, FALSE), 1)</f>
        <v>0.21050887733851162</v>
      </c>
      <c r="N15" s="7">
        <f>$B15 * IFERROR(VLOOKUP("industry|SO2|Work loss days", US_national_yearly!$D:$AM, 22, FALSE) / VLOOKUP("industry|SO2|Work loss days", US_national_yearly!$D:$AM, 10, FALSE), 1)</f>
        <v>0.21205210445600736</v>
      </c>
      <c r="O15" s="7">
        <f>$B15 * IFERROR(VLOOKUP("industry|SO2|Work loss days", US_national_yearly!$D:$AM, 23, FALSE) / VLOOKUP("industry|SO2|Work loss days", US_national_yearly!$D:$AM, 10, FALSE), 1)</f>
        <v>0.21359533157350311</v>
      </c>
      <c r="P15" s="7">
        <f>$B15 * IFERROR(VLOOKUP("industry|SO2|Work loss days", US_national_yearly!$D:$AM, 24, FALSE) / VLOOKUP("industry|SO2|Work loss days", US_national_yearly!$D:$AM, 10, FALSE), 1)</f>
        <v>0.21513855869099885</v>
      </c>
      <c r="Q15" s="7">
        <f>$B15 * IFERROR(VLOOKUP("industry|SO2|Work loss days", US_national_yearly!$D:$AM, 25, FALSE) / VLOOKUP("industry|SO2|Work loss days", US_national_yearly!$D:$AM, 10, FALSE), 1)</f>
        <v>0.21668178580849459</v>
      </c>
      <c r="R15" s="7">
        <f>$B15 * IFERROR(VLOOKUP("industry|SO2|Work loss days", US_national_yearly!$D:$AM, 26, FALSE) / VLOOKUP("industry|SO2|Work loss days", US_national_yearly!$D:$AM, 10, FALSE), 1)</f>
        <v>0.21822501292599034</v>
      </c>
      <c r="S15" s="7">
        <f>$B15 * IFERROR(VLOOKUP("industry|SO2|Work loss days", US_national_yearly!$D:$AM, 27, FALSE) / VLOOKUP("industry|SO2|Work loss days", US_national_yearly!$D:$AM, 10, FALSE), 1)</f>
        <v>0.21995182047003603</v>
      </c>
      <c r="T15" s="7">
        <f>$B15 * IFERROR(VLOOKUP("industry|SO2|Work loss days", US_national_yearly!$D:$AM, 28, FALSE) / VLOOKUP("industry|SO2|Work loss days", US_national_yearly!$D:$AM, 10, FALSE), 1)</f>
        <v>0.22167862801408175</v>
      </c>
      <c r="U15" s="7">
        <f>$B15 * IFERROR(VLOOKUP("industry|SO2|Work loss days", US_national_yearly!$D:$AM, 29, FALSE) / VLOOKUP("industry|SO2|Work loss days", US_national_yearly!$D:$AM, 10, FALSE), 1)</f>
        <v>0.22340543555812753</v>
      </c>
      <c r="V15" s="7">
        <f>$B15 * IFERROR(VLOOKUP("industry|SO2|Work loss days", US_national_yearly!$D:$AM, 30, FALSE) / VLOOKUP("industry|SO2|Work loss days", US_national_yearly!$D:$AM, 10, FALSE), 1)</f>
        <v>0.2251322431021732</v>
      </c>
      <c r="W15" s="7">
        <f>$B15 * IFERROR(VLOOKUP("industry|SO2|Work loss days", US_national_yearly!$D:$AM, 31, FALSE) / VLOOKUP("industry|SO2|Work loss days", US_national_yearly!$D:$AM, 10, FALSE), 1)</f>
        <v>0.22685905064621895</v>
      </c>
      <c r="X15" s="7">
        <f>$B15 * IFERROR(VLOOKUP("industry|SO2|Work loss days", US_national_yearly!$D:$AM, 32, FALSE) / VLOOKUP("industry|SO2|Work loss days", US_national_yearly!$D:$AM, 10, FALSE), 1)</f>
        <v>0.22841002237483962</v>
      </c>
      <c r="Y15" s="7">
        <f>$B15 * IFERROR(VLOOKUP("industry|SO2|Work loss days", US_national_yearly!$D:$AM, 33, FALSE) / VLOOKUP("industry|SO2|Work loss days", US_national_yearly!$D:$AM, 10, FALSE), 1)</f>
        <v>0.22996099410346035</v>
      </c>
      <c r="Z15" s="7">
        <f>$B15 * IFERROR(VLOOKUP("industry|SO2|Work loss days", US_national_yearly!$D:$AM, 34, FALSE) / VLOOKUP("industry|SO2|Work loss days", US_national_yearly!$D:$AM, 10, FALSE), 1)</f>
        <v>0.231511965832081</v>
      </c>
      <c r="AA15" s="7">
        <f>$B15 * IFERROR(VLOOKUP("industry|SO2|Work loss days", US_national_yearly!$D:$AM, 35, FALSE) / VLOOKUP("industry|SO2|Work loss days", US_national_yearly!$D:$AM, 10, FALSE), 1)</f>
        <v>0.23306293756070173</v>
      </c>
      <c r="AB15" s="7">
        <f>$B15 * IFERROR(VLOOKUP("industry|SO2|Work loss days", US_national_yearly!$D:$AM, 36, FALSE) / VLOOKUP("industry|SO2|Work loss days", US_national_yearly!$D:$AM, 10, FALSE), 1)</f>
        <v>0.23461390928932241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2.680280780657815E-4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2.761324957339398E-4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2.8423691340209815E-4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2.9234133107025644E-4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3.0044574873841479E-4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3.0821270405417963E-4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3.1597965936994442E-4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3.226439790026847E-4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3.2930829863542504E-4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3.3597261826816537E-4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3.4263693790090576E-4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3.4930125753364604E-4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3.5377870871428877E-4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3.5825615989493149E-4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3.6273361107557416E-4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3.6721106225621688E-4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3.7168851343685961E-4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3.7405601603752558E-4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3.7642351863819166E-4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3.7879102123885769E-4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3.8115852383952377E-4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3.8352602644018975E-4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3.8512708591152608E-4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3.8672814538286235E-4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3.8832920485419874E-4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3.8993026432553507E-4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3.9153132379687129E-4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3.8622390387328925E-4</v>
      </c>
      <c r="C2" s="7">
        <f>$B2 * IFERROR(VLOOKUP("LULUCF|PM25|Premature mortality", US_national_yearly!$D:$AM, 11, FALSE) / VLOOKUP("LULUCF|PM25|Premature mortality", US_national_yearly!$D:$AM, 10, FALSE), 1)</f>
        <v>3.9101223387698813E-4</v>
      </c>
      <c r="D2" s="7">
        <f>$B2 * IFERROR(VLOOKUP("LULUCF|PM25|Premature mortality", US_national_yearly!$D:$AM, 12, FALSE) / VLOOKUP("LULUCF|PM25|Premature mortality", US_national_yearly!$D:$AM, 10, FALSE), 1)</f>
        <v>3.9580056388068685E-4</v>
      </c>
      <c r="E2" s="7">
        <f>$B2 * IFERROR(VLOOKUP("LULUCF|PM25|Premature mortality", US_national_yearly!$D:$AM, 13, FALSE) / VLOOKUP("LULUCF|PM25|Premature mortality", US_national_yearly!$D:$AM, 10, FALSE), 1)</f>
        <v>4.0058889388438563E-4</v>
      </c>
      <c r="F2" s="7">
        <f>$B2 * IFERROR(VLOOKUP("LULUCF|PM25|Premature mortality", US_national_yearly!$D:$AM, 14, FALSE) / VLOOKUP("LULUCF|PM25|Premature mortality", US_national_yearly!$D:$AM, 10, FALSE), 1)</f>
        <v>4.053772238880844E-4</v>
      </c>
      <c r="G2" s="7">
        <f>$B2 * IFERROR(VLOOKUP("LULUCF|PM25|Premature mortality", US_national_yearly!$D:$AM, 15, FALSE) / VLOOKUP("LULUCF|PM25|Premature mortality", US_national_yearly!$D:$AM, 10, FALSE), 1)</f>
        <v>4.147024604575578E-4</v>
      </c>
      <c r="H2" s="7">
        <f>$B2 * IFERROR(VLOOKUP("LULUCF|PM25|Premature mortality", US_national_yearly!$D:$AM, 16, FALSE) / VLOOKUP("LULUCF|PM25|Premature mortality", US_national_yearly!$D:$AM, 10, FALSE), 1)</f>
        <v>4.2402769702703114E-4</v>
      </c>
      <c r="I2" s="7">
        <f>$B2 * IFERROR(VLOOKUP("LULUCF|PM25|Premature mortality", US_national_yearly!$D:$AM, 17, FALSE) / VLOOKUP("LULUCF|PM25|Premature mortality", US_national_yearly!$D:$AM, 10, FALSE), 1)</f>
        <v>4.3015290495295757E-4</v>
      </c>
      <c r="J2" s="7">
        <f>$B2 * IFERROR(VLOOKUP("LULUCF|PM25|Premature mortality", US_national_yearly!$D:$AM, 18, FALSE) / VLOOKUP("LULUCF|PM25|Premature mortality", US_national_yearly!$D:$AM, 10, FALSE), 1)</f>
        <v>4.362781128788842E-4</v>
      </c>
      <c r="K2" s="7">
        <f>$B2 * IFERROR(VLOOKUP("LULUCF|PM25|Premature mortality", US_national_yearly!$D:$AM, 19, FALSE) / VLOOKUP("LULUCF|PM25|Premature mortality", US_national_yearly!$D:$AM, 10, FALSE), 1)</f>
        <v>4.4240332080481073E-4</v>
      </c>
      <c r="L2" s="7">
        <f>$B2 * IFERROR(VLOOKUP("LULUCF|PM25|Premature mortality", US_national_yearly!$D:$AM, 20, FALSE) / VLOOKUP("LULUCF|PM25|Premature mortality", US_national_yearly!$D:$AM, 10, FALSE), 1)</f>
        <v>4.4852852873073732E-4</v>
      </c>
      <c r="M2" s="7">
        <f>$B2 * IFERROR(VLOOKUP("LULUCF|PM25|Premature mortality", US_national_yearly!$D:$AM, 21, FALSE) / VLOOKUP("LULUCF|PM25|Premature mortality", US_national_yearly!$D:$AM, 10, FALSE), 1)</f>
        <v>4.5465373665666385E-4</v>
      </c>
      <c r="N2" s="7">
        <f>$B2 * IFERROR(VLOOKUP("LULUCF|PM25|Premature mortality", US_national_yearly!$D:$AM, 22, FALSE) / VLOOKUP("LULUCF|PM25|Premature mortality", US_national_yearly!$D:$AM, 10, FALSE), 1)</f>
        <v>4.5940957077817112E-4</v>
      </c>
      <c r="O2" s="7">
        <f>$B2 * IFERROR(VLOOKUP("LULUCF|PM25|Premature mortality", US_national_yearly!$D:$AM, 23, FALSE) / VLOOKUP("LULUCF|PM25|Premature mortality", US_national_yearly!$D:$AM, 10, FALSE), 1)</f>
        <v>4.6416540489967845E-4</v>
      </c>
      <c r="P2" s="7">
        <f>$B2 * IFERROR(VLOOKUP("LULUCF|PM25|Premature mortality", US_national_yearly!$D:$AM, 24, FALSE) / VLOOKUP("LULUCF|PM25|Premature mortality", US_national_yearly!$D:$AM, 10, FALSE), 1)</f>
        <v>4.6892123902118578E-4</v>
      </c>
      <c r="Q2" s="7">
        <f>$B2 * IFERROR(VLOOKUP("LULUCF|PM25|Premature mortality", US_national_yearly!$D:$AM, 25, FALSE) / VLOOKUP("LULUCF|PM25|Premature mortality", US_national_yearly!$D:$AM, 10, FALSE), 1)</f>
        <v>4.7367707314269311E-4</v>
      </c>
      <c r="R2" s="7">
        <f>$B2 * IFERROR(VLOOKUP("LULUCF|PM25|Premature mortality", US_national_yearly!$D:$AM, 26, FALSE) / VLOOKUP("LULUCF|PM25|Premature mortality", US_national_yearly!$D:$AM, 10, FALSE), 1)</f>
        <v>4.784329072642005E-4</v>
      </c>
      <c r="S2" s="7">
        <f>$B2 * IFERROR(VLOOKUP("LULUCF|PM25|Premature mortality", US_national_yearly!$D:$AM, 27, FALSE) / VLOOKUP("LULUCF|PM25|Premature mortality", US_national_yearly!$D:$AM, 10, FALSE), 1)</f>
        <v>4.8095240688123371E-4</v>
      </c>
      <c r="T2" s="7">
        <f>$B2 * IFERROR(VLOOKUP("LULUCF|PM25|Premature mortality", US_national_yearly!$D:$AM, 28, FALSE) / VLOOKUP("LULUCF|PM25|Premature mortality", US_national_yearly!$D:$AM, 10, FALSE), 1)</f>
        <v>4.8347190649826682E-4</v>
      </c>
      <c r="U2" s="7">
        <f>$B2 * IFERROR(VLOOKUP("LULUCF|PM25|Premature mortality", US_national_yearly!$D:$AM, 29, FALSE) / VLOOKUP("LULUCF|PM25|Premature mortality", US_national_yearly!$D:$AM, 10, FALSE), 1)</f>
        <v>4.8599140611529993E-4</v>
      </c>
      <c r="V2" s="7">
        <f>$B2 * IFERROR(VLOOKUP("LULUCF|PM25|Premature mortality", US_national_yearly!$D:$AM, 30, FALSE) / VLOOKUP("LULUCF|PM25|Premature mortality", US_national_yearly!$D:$AM, 10, FALSE), 1)</f>
        <v>4.8851090573233304E-4</v>
      </c>
      <c r="W2" s="7">
        <f>$B2 * IFERROR(VLOOKUP("LULUCF|PM25|Premature mortality", US_national_yearly!$D:$AM, 31, FALSE) / VLOOKUP("LULUCF|PM25|Premature mortality", US_national_yearly!$D:$AM, 10, FALSE), 1)</f>
        <v>4.9103040534936621E-4</v>
      </c>
      <c r="X2" s="7">
        <f>$B2 * IFERROR(VLOOKUP("LULUCF|PM25|Premature mortality", US_national_yearly!$D:$AM, 32, FALSE) / VLOOKUP("LULUCF|PM25|Premature mortality", US_national_yearly!$D:$AM, 10, FALSE), 1)</f>
        <v>4.9147095934708412E-4</v>
      </c>
      <c r="Y2" s="7">
        <f>$B2 * IFERROR(VLOOKUP("LULUCF|PM25|Premature mortality", US_national_yearly!$D:$AM, 33, FALSE) / VLOOKUP("LULUCF|PM25|Premature mortality", US_national_yearly!$D:$AM, 10, FALSE), 1)</f>
        <v>4.9191151334480204E-4</v>
      </c>
      <c r="Z2" s="7">
        <f>$B2 * IFERROR(VLOOKUP("LULUCF|PM25|Premature mortality", US_national_yearly!$D:$AM, 34, FALSE) / VLOOKUP("LULUCF|PM25|Premature mortality", US_national_yearly!$D:$AM, 10, FALSE), 1)</f>
        <v>4.9235206734251995E-4</v>
      </c>
      <c r="AA2" s="7">
        <f>$B2 * IFERROR(VLOOKUP("LULUCF|PM25|Premature mortality", US_national_yearly!$D:$AM, 35, FALSE) / VLOOKUP("LULUCF|PM25|Premature mortality", US_national_yearly!$D:$AM, 10, FALSE), 1)</f>
        <v>4.9279262134023798E-4</v>
      </c>
      <c r="AB2" s="7">
        <f>$B2 * IFERROR(VLOOKUP("LULUCF|PM25|Premature mortality", US_national_yearly!$D:$AM, 36, FALSE) / VLOOKUP("LULUCF|PM25|Premature mortality", US_national_yearly!$D:$AM, 10, FALSE), 1)</f>
        <v>4.9323317533795589E-4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9.8743750248330403E-7</v>
      </c>
      <c r="C3" s="7">
        <f>$B3 * IFERROR(VLOOKUP("LULUCF|PM25|Infant mortality", US_national_yearly!$D:$AM, 11, FALSE) / VLOOKUP("LULUCF|PM25|Infant mortality", US_national_yearly!$D:$AM, 10, FALSE), 1)</f>
        <v>9.788279485047931E-7</v>
      </c>
      <c r="D3" s="7">
        <f>$B3 * IFERROR(VLOOKUP("LULUCF|PM25|Infant mortality", US_national_yearly!$D:$AM, 12, FALSE) / VLOOKUP("LULUCF|PM25|Infant mortality", US_national_yearly!$D:$AM, 10, FALSE), 1)</f>
        <v>9.7021839452628218E-7</v>
      </c>
      <c r="E3" s="7">
        <f>$B3 * IFERROR(VLOOKUP("LULUCF|PM25|Infant mortality", US_national_yearly!$D:$AM, 13, FALSE) / VLOOKUP("LULUCF|PM25|Infant mortality", US_national_yearly!$D:$AM, 10, FALSE), 1)</f>
        <v>9.6160884054777125E-7</v>
      </c>
      <c r="F3" s="7">
        <f>$B3 * IFERROR(VLOOKUP("LULUCF|PM25|Infant mortality", US_national_yearly!$D:$AM, 14, FALSE) / VLOOKUP("LULUCF|PM25|Infant mortality", US_national_yearly!$D:$AM, 10, FALSE), 1)</f>
        <v>9.5299928656926001E-7</v>
      </c>
      <c r="G3" s="7">
        <f>$B3 * IFERROR(VLOOKUP("LULUCF|PM25|Infant mortality", US_national_yearly!$D:$AM, 15, FALSE) / VLOOKUP("LULUCF|PM25|Infant mortality", US_national_yearly!$D:$AM, 10, FALSE), 1)</f>
        <v>6.3379550336454314E-7</v>
      </c>
      <c r="H3" s="7">
        <f>$B3 * IFERROR(VLOOKUP("LULUCF|PM25|Infant mortality", US_national_yearly!$D:$AM, 16, FALSE) / VLOOKUP("LULUCF|PM25|Infant mortality", US_national_yearly!$D:$AM, 10, FALSE), 1)</f>
        <v>3.1459172015982602E-7</v>
      </c>
      <c r="I3" s="7">
        <f>$B3 * IFERROR(VLOOKUP("LULUCF|PM25|Infant mortality", US_national_yearly!$D:$AM, 17, FALSE) / VLOOKUP("LULUCF|PM25|Infant mortality", US_national_yearly!$D:$AM, 10, FALSE), 1)</f>
        <v>3.1253534360940311E-7</v>
      </c>
      <c r="J3" s="7">
        <f>$B3 * IFERROR(VLOOKUP("LULUCF|PM25|Infant mortality", US_national_yearly!$D:$AM, 18, FALSE) / VLOOKUP("LULUCF|PM25|Infant mortality", US_national_yearly!$D:$AM, 10, FALSE), 1)</f>
        <v>3.1047896705898009E-7</v>
      </c>
      <c r="K3" s="7">
        <f>$B3 * IFERROR(VLOOKUP("LULUCF|PM25|Infant mortality", US_national_yearly!$D:$AM, 19, FALSE) / VLOOKUP("LULUCF|PM25|Infant mortality", US_national_yearly!$D:$AM, 10, FALSE), 1)</f>
        <v>3.0842259050855713E-7</v>
      </c>
      <c r="L3" s="7">
        <f>$B3 * IFERROR(VLOOKUP("LULUCF|PM25|Infant mortality", US_national_yearly!$D:$AM, 20, FALSE) / VLOOKUP("LULUCF|PM25|Infant mortality", US_national_yearly!$D:$AM, 10, FALSE), 1)</f>
        <v>3.0636621395813422E-7</v>
      </c>
      <c r="M3" s="7">
        <f>$B3 * IFERROR(VLOOKUP("LULUCF|PM25|Infant mortality", US_national_yearly!$D:$AM, 21, FALSE) / VLOOKUP("LULUCF|PM25|Infant mortality", US_national_yearly!$D:$AM, 10, FALSE), 1)</f>
        <v>3.0430983740771131E-7</v>
      </c>
      <c r="N3" s="7">
        <f>$B3 * IFERROR(VLOOKUP("LULUCF|PM25|Infant mortality", US_national_yearly!$D:$AM, 22, FALSE) / VLOOKUP("LULUCF|PM25|Infant mortality", US_national_yearly!$D:$AM, 10, FALSE), 1)</f>
        <v>3.0301820527092695E-7</v>
      </c>
      <c r="O3" s="7">
        <f>$B3 * IFERROR(VLOOKUP("LULUCF|PM25|Infant mortality", US_national_yearly!$D:$AM, 23, FALSE) / VLOOKUP("LULUCF|PM25|Infant mortality", US_national_yearly!$D:$AM, 10, FALSE), 1)</f>
        <v>3.0172657313414265E-7</v>
      </c>
      <c r="P3" s="7">
        <f>$B3 * IFERROR(VLOOKUP("LULUCF|PM25|Infant mortality", US_national_yearly!$D:$AM, 24, FALSE) / VLOOKUP("LULUCF|PM25|Infant mortality", US_national_yearly!$D:$AM, 10, FALSE), 1)</f>
        <v>3.0043494099735824E-7</v>
      </c>
      <c r="Q3" s="7">
        <f>$B3 * IFERROR(VLOOKUP("LULUCF|PM25|Infant mortality", US_national_yearly!$D:$AM, 25, FALSE) / VLOOKUP("LULUCF|PM25|Infant mortality", US_national_yearly!$D:$AM, 10, FALSE), 1)</f>
        <v>2.9914330886057393E-7</v>
      </c>
      <c r="R3" s="7">
        <f>$B3 * IFERROR(VLOOKUP("LULUCF|PM25|Infant mortality", US_national_yearly!$D:$AM, 26, FALSE) / VLOOKUP("LULUCF|PM25|Infant mortality", US_national_yearly!$D:$AM, 10, FALSE), 1)</f>
        <v>2.9785167672378958E-7</v>
      </c>
      <c r="S3" s="7">
        <f>$B3 * IFERROR(VLOOKUP("LULUCF|PM25|Infant mortality", US_national_yearly!$D:$AM, 27, FALSE) / VLOOKUP("LULUCF|PM25|Infant mortality", US_national_yearly!$D:$AM, 10, FALSE), 1)</f>
        <v>2.9624163085580402E-7</v>
      </c>
      <c r="T3" s="7">
        <f>$B3 * IFERROR(VLOOKUP("LULUCF|PM25|Infant mortality", US_national_yearly!$D:$AM, 28, FALSE) / VLOOKUP("LULUCF|PM25|Infant mortality", US_national_yearly!$D:$AM, 10, FALSE), 1)</f>
        <v>2.9463158498781841E-7</v>
      </c>
      <c r="U3" s="7">
        <f>$B3 * IFERROR(VLOOKUP("LULUCF|PM25|Infant mortality", US_national_yearly!$D:$AM, 29, FALSE) / VLOOKUP("LULUCF|PM25|Infant mortality", US_national_yearly!$D:$AM, 10, FALSE), 1)</f>
        <v>2.9302153911983286E-7</v>
      </c>
      <c r="V3" s="7">
        <f>$B3 * IFERROR(VLOOKUP("LULUCF|PM25|Infant mortality", US_national_yearly!$D:$AM, 30, FALSE) / VLOOKUP("LULUCF|PM25|Infant mortality", US_national_yearly!$D:$AM, 10, FALSE), 1)</f>
        <v>2.914114932518473E-7</v>
      </c>
      <c r="W3" s="7">
        <f>$B3 * IFERROR(VLOOKUP("LULUCF|PM25|Infant mortality", US_national_yearly!$D:$AM, 31, FALSE) / VLOOKUP("LULUCF|PM25|Infant mortality", US_national_yearly!$D:$AM, 10, FALSE), 1)</f>
        <v>2.898014473838617E-7</v>
      </c>
      <c r="X3" s="7">
        <f>$B3 * IFERROR(VLOOKUP("LULUCF|PM25|Infant mortality", US_national_yearly!$D:$AM, 32, FALSE) / VLOOKUP("LULUCF|PM25|Infant mortality", US_national_yearly!$D:$AM, 10, FALSE), 1)</f>
        <v>2.8806561557663784E-7</v>
      </c>
      <c r="Y3" s="7">
        <f>$B3 * IFERROR(VLOOKUP("LULUCF|PM25|Infant mortality", US_national_yearly!$D:$AM, 33, FALSE) / VLOOKUP("LULUCF|PM25|Infant mortality", US_national_yearly!$D:$AM, 10, FALSE), 1)</f>
        <v>2.8632978376941382E-7</v>
      </c>
      <c r="Z3" s="7">
        <f>$B3 * IFERROR(VLOOKUP("LULUCF|PM25|Infant mortality", US_national_yearly!$D:$AM, 34, FALSE) / VLOOKUP("LULUCF|PM25|Infant mortality", US_national_yearly!$D:$AM, 10, FALSE), 1)</f>
        <v>2.8459395196218996E-7</v>
      </c>
      <c r="AA3" s="7">
        <f>$B3 * IFERROR(VLOOKUP("LULUCF|PM25|Infant mortality", US_national_yearly!$D:$AM, 35, FALSE) / VLOOKUP("LULUCF|PM25|Infant mortality", US_national_yearly!$D:$AM, 10, FALSE), 1)</f>
        <v>2.8285812015496604E-7</v>
      </c>
      <c r="AB3" s="7">
        <f>$B3 * IFERROR(VLOOKUP("LULUCF|PM25|Infant mortality", US_national_yearly!$D:$AM, 36, FALSE) / VLOOKUP("LULUCF|PM25|Infant mortality", US_national_yearly!$D:$AM, 10, FALSE), 1)</f>
        <v>2.8112228834774218E-7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1.1687446001744128E-3</v>
      </c>
      <c r="C6" s="7">
        <f>$B6 * IFERROR(VLOOKUP("LULUCF|PM25|Asthma symptoms cough", US_national_yearly!$D:$AM, 11, FALSE) / VLOOKUP("LULUCF|PM25|Asthma symptoms cough", US_national_yearly!$D:$AM, 10, FALSE), 1)</f>
        <v>1.1687446001744128E-3</v>
      </c>
      <c r="D6" s="7">
        <f>$B6 * IFERROR(VLOOKUP("LULUCF|PM25|Asthma symptoms cough", US_national_yearly!$D:$AM, 12, FALSE) / VLOOKUP("LULUCF|PM25|Asthma symptoms cough", US_national_yearly!$D:$AM, 10, FALSE), 1)</f>
        <v>1.1687446001744128E-3</v>
      </c>
      <c r="E6" s="7">
        <f>$B6 * IFERROR(VLOOKUP("LULUCF|PM25|Asthma symptoms cough", US_national_yearly!$D:$AM, 13, FALSE) / VLOOKUP("LULUCF|PM25|Asthma symptoms cough", US_national_yearly!$D:$AM, 10, FALSE), 1)</f>
        <v>1.1687446001744128E-3</v>
      </c>
      <c r="F6" s="7">
        <f>$B6 * IFERROR(VLOOKUP("LULUCF|PM25|Asthma symptoms cough", US_national_yearly!$D:$AM, 14, FALSE) / VLOOKUP("LULUCF|PM25|Asthma symptoms cough", US_national_yearly!$D:$AM, 10, FALSE), 1)</f>
        <v>1.1687446001744128E-3</v>
      </c>
      <c r="G6" s="7">
        <f>$B6 * IFERROR(VLOOKUP("LULUCF|PM25|Asthma symptoms cough", US_national_yearly!$D:$AM, 15, FALSE) / VLOOKUP("LULUCF|PM25|Asthma symptoms cough", US_national_yearly!$D:$AM, 10, FALSE), 1)</f>
        <v>1.1687446001744128E-3</v>
      </c>
      <c r="H6" s="7">
        <f>$B6 * IFERROR(VLOOKUP("LULUCF|PM25|Asthma symptoms cough", US_national_yearly!$D:$AM, 16, FALSE) / VLOOKUP("LULUCF|PM25|Asthma symptoms cough", US_national_yearly!$D:$AM, 10, FALSE), 1)</f>
        <v>1.1687446001744128E-3</v>
      </c>
      <c r="I6" s="7">
        <f>$B6 * IFERROR(VLOOKUP("LULUCF|PM25|Asthma symptoms cough", US_national_yearly!$D:$AM, 17, FALSE) / VLOOKUP("LULUCF|PM25|Asthma symptoms cough", US_national_yearly!$D:$AM, 10, FALSE), 1)</f>
        <v>1.1687446001744128E-3</v>
      </c>
      <c r="J6" s="7">
        <f>$B6 * IFERROR(VLOOKUP("LULUCF|PM25|Asthma symptoms cough", US_national_yearly!$D:$AM, 18, FALSE) / VLOOKUP("LULUCF|PM25|Asthma symptoms cough", US_national_yearly!$D:$AM, 10, FALSE), 1)</f>
        <v>1.1687446001744128E-3</v>
      </c>
      <c r="K6" s="7">
        <f>$B6 * IFERROR(VLOOKUP("LULUCF|PM25|Asthma symptoms cough", US_national_yearly!$D:$AM, 19, FALSE) / VLOOKUP("LULUCF|PM25|Asthma symptoms cough", US_national_yearly!$D:$AM, 10, FALSE), 1)</f>
        <v>1.1687446001744128E-3</v>
      </c>
      <c r="L6" s="7">
        <f>$B6 * IFERROR(VLOOKUP("LULUCF|PM25|Asthma symptoms cough", US_national_yearly!$D:$AM, 20, FALSE) / VLOOKUP("LULUCF|PM25|Asthma symptoms cough", US_national_yearly!$D:$AM, 10, FALSE), 1)</f>
        <v>1.1687446001744128E-3</v>
      </c>
      <c r="M6" s="7">
        <f>$B6 * IFERROR(VLOOKUP("LULUCF|PM25|Asthma symptoms cough", US_national_yearly!$D:$AM, 21, FALSE) / VLOOKUP("LULUCF|PM25|Asthma symptoms cough", US_national_yearly!$D:$AM, 10, FALSE), 1)</f>
        <v>1.1687446001744128E-3</v>
      </c>
      <c r="N6" s="7">
        <f>$B6 * IFERROR(VLOOKUP("LULUCF|PM25|Asthma symptoms cough", US_national_yearly!$D:$AM, 22, FALSE) / VLOOKUP("LULUCF|PM25|Asthma symptoms cough", US_national_yearly!$D:$AM, 10, FALSE), 1)</f>
        <v>1.1687446001744128E-3</v>
      </c>
      <c r="O6" s="7">
        <f>$B6 * IFERROR(VLOOKUP("LULUCF|PM25|Asthma symptoms cough", US_national_yearly!$D:$AM, 23, FALSE) / VLOOKUP("LULUCF|PM25|Asthma symptoms cough", US_national_yearly!$D:$AM, 10, FALSE), 1)</f>
        <v>1.1687446001744128E-3</v>
      </c>
      <c r="P6" s="7">
        <f>$B6 * IFERROR(VLOOKUP("LULUCF|PM25|Asthma symptoms cough", US_national_yearly!$D:$AM, 24, FALSE) / VLOOKUP("LULUCF|PM25|Asthma symptoms cough", US_national_yearly!$D:$AM, 10, FALSE), 1)</f>
        <v>1.1687446001744128E-3</v>
      </c>
      <c r="Q6" s="7">
        <f>$B6 * IFERROR(VLOOKUP("LULUCF|PM25|Asthma symptoms cough", US_national_yearly!$D:$AM, 25, FALSE) / VLOOKUP("LULUCF|PM25|Asthma symptoms cough", US_national_yearly!$D:$AM, 10, FALSE), 1)</f>
        <v>1.1687446001744128E-3</v>
      </c>
      <c r="R6" s="7">
        <f>$B6 * IFERROR(VLOOKUP("LULUCF|PM25|Asthma symptoms cough", US_national_yearly!$D:$AM, 26, FALSE) / VLOOKUP("LULUCF|PM25|Asthma symptoms cough", US_national_yearly!$D:$AM, 10, FALSE), 1)</f>
        <v>1.1687446001744128E-3</v>
      </c>
      <c r="S6" s="7">
        <f>$B6 * IFERROR(VLOOKUP("LULUCF|PM25|Asthma symptoms cough", US_national_yearly!$D:$AM, 27, FALSE) / VLOOKUP("LULUCF|PM25|Asthma symptoms cough", US_national_yearly!$D:$AM, 10, FALSE), 1)</f>
        <v>1.1687446001744128E-3</v>
      </c>
      <c r="T6" s="7">
        <f>$B6 * IFERROR(VLOOKUP("LULUCF|PM25|Asthma symptoms cough", US_national_yearly!$D:$AM, 28, FALSE) / VLOOKUP("LULUCF|PM25|Asthma symptoms cough", US_national_yearly!$D:$AM, 10, FALSE), 1)</f>
        <v>1.1687446001744128E-3</v>
      </c>
      <c r="U6" s="7">
        <f>$B6 * IFERROR(VLOOKUP("LULUCF|PM25|Asthma symptoms cough", US_national_yearly!$D:$AM, 29, FALSE) / VLOOKUP("LULUCF|PM25|Asthma symptoms cough", US_national_yearly!$D:$AM, 10, FALSE), 1)</f>
        <v>1.1687446001744128E-3</v>
      </c>
      <c r="V6" s="7">
        <f>$B6 * IFERROR(VLOOKUP("LULUCF|PM25|Asthma symptoms cough", US_national_yearly!$D:$AM, 30, FALSE) / VLOOKUP("LULUCF|PM25|Asthma symptoms cough", US_national_yearly!$D:$AM, 10, FALSE), 1)</f>
        <v>1.1687446001744128E-3</v>
      </c>
      <c r="W6" s="7">
        <f>$B6 * IFERROR(VLOOKUP("LULUCF|PM25|Asthma symptoms cough", US_national_yearly!$D:$AM, 31, FALSE) / VLOOKUP("LULUCF|PM25|Asthma symptoms cough", US_national_yearly!$D:$AM, 10, FALSE), 1)</f>
        <v>1.1687446001744128E-3</v>
      </c>
      <c r="X6" s="7">
        <f>$B6 * IFERROR(VLOOKUP("LULUCF|PM25|Asthma symptoms cough", US_national_yearly!$D:$AM, 32, FALSE) / VLOOKUP("LULUCF|PM25|Asthma symptoms cough", US_national_yearly!$D:$AM, 10, FALSE), 1)</f>
        <v>1.1687446001744128E-3</v>
      </c>
      <c r="Y6" s="7">
        <f>$B6 * IFERROR(VLOOKUP("LULUCF|PM25|Asthma symptoms cough", US_national_yearly!$D:$AM, 33, FALSE) / VLOOKUP("LULUCF|PM25|Asthma symptoms cough", US_national_yearly!$D:$AM, 10, FALSE), 1)</f>
        <v>1.1687446001744128E-3</v>
      </c>
      <c r="Z6" s="7">
        <f>$B6 * IFERROR(VLOOKUP("LULUCF|PM25|Asthma symptoms cough", US_national_yearly!$D:$AM, 34, FALSE) / VLOOKUP("LULUCF|PM25|Asthma symptoms cough", US_national_yearly!$D:$AM, 10, FALSE), 1)</f>
        <v>1.1687446001744128E-3</v>
      </c>
      <c r="AA6" s="7">
        <f>$B6 * IFERROR(VLOOKUP("LULUCF|PM25|Asthma symptoms cough", US_national_yearly!$D:$AM, 35, FALSE) / VLOOKUP("LULUCF|PM25|Asthma symptoms cough", US_national_yearly!$D:$AM, 10, FALSE), 1)</f>
        <v>1.1687446001744128E-3</v>
      </c>
      <c r="AB6" s="7">
        <f>$B6 * IFERROR(VLOOKUP("LULUCF|PM25|Asthma symptoms cough", US_national_yearly!$D:$AM, 36, FALSE) / VLOOKUP("LULUCF|PM25|Asthma symptoms cough", US_national_yearly!$D:$AM, 10, FALSE), 1)</f>
        <v>1.1687446001744128E-3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1.5738737993722448E-3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1.5738737993722448E-3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1.5738737993722448E-3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1.5738737993722448E-3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1.5738737993722448E-3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1.5738737993722448E-3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1.5738737993722448E-3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1.5738737993722448E-3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1.5738737993722448E-3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1.5738737993722448E-3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1.5738737993722448E-3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1.5738737993722448E-3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1.5738737993722448E-3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1.5738737993722448E-3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1.5738737993722448E-3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1.5738737993722448E-3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1.5738737993722448E-3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1.5738737993722448E-3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1.5738737993722448E-3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1.5738737993722448E-3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1.5738737993722448E-3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1.5738737993722448E-3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1.5738737993722448E-3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1.5738737993722448E-3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1.5738737993722448E-3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1.5738737993722448E-3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1.5738737993722448E-3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2.404649505445593E-3</v>
      </c>
      <c r="C8" s="7">
        <f>$B8 * IFERROR(VLOOKUP("LULUCF|PM25|Asthma symptoms wheeze", US_national_yearly!$D:$AM, 11, FALSE) / VLOOKUP("LULUCF|PM25|Asthma symptoms wheeze", US_national_yearly!$D:$AM, 10, FALSE), 1)</f>
        <v>2.404649505445593E-3</v>
      </c>
      <c r="D8" s="7">
        <f>$B8 * IFERROR(VLOOKUP("LULUCF|PM25|Asthma symptoms wheeze", US_national_yearly!$D:$AM, 12, FALSE) / VLOOKUP("LULUCF|PM25|Asthma symptoms wheeze", US_national_yearly!$D:$AM, 10, FALSE), 1)</f>
        <v>2.404649505445593E-3</v>
      </c>
      <c r="E8" s="7">
        <f>$B8 * IFERROR(VLOOKUP("LULUCF|PM25|Asthma symptoms wheeze", US_national_yearly!$D:$AM, 13, FALSE) / VLOOKUP("LULUCF|PM25|Asthma symptoms wheeze", US_national_yearly!$D:$AM, 10, FALSE), 1)</f>
        <v>2.404649505445593E-3</v>
      </c>
      <c r="F8" s="7">
        <f>$B8 * IFERROR(VLOOKUP("LULUCF|PM25|Asthma symptoms wheeze", US_national_yearly!$D:$AM, 14, FALSE) / VLOOKUP("LULUCF|PM25|Asthma symptoms wheeze", US_national_yearly!$D:$AM, 10, FALSE), 1)</f>
        <v>2.404649505445593E-3</v>
      </c>
      <c r="G8" s="7">
        <f>$B8 * IFERROR(VLOOKUP("LULUCF|PM25|Asthma symptoms wheeze", US_national_yearly!$D:$AM, 15, FALSE) / VLOOKUP("LULUCF|PM25|Asthma symptoms wheeze", US_national_yearly!$D:$AM, 10, FALSE), 1)</f>
        <v>2.404649505445593E-3</v>
      </c>
      <c r="H8" s="7">
        <f>$B8 * IFERROR(VLOOKUP("LULUCF|PM25|Asthma symptoms wheeze", US_national_yearly!$D:$AM, 16, FALSE) / VLOOKUP("LULUCF|PM25|Asthma symptoms wheeze", US_national_yearly!$D:$AM, 10, FALSE), 1)</f>
        <v>2.404649505445593E-3</v>
      </c>
      <c r="I8" s="7">
        <f>$B8 * IFERROR(VLOOKUP("LULUCF|PM25|Asthma symptoms wheeze", US_national_yearly!$D:$AM, 17, FALSE) / VLOOKUP("LULUCF|PM25|Asthma symptoms wheeze", US_national_yearly!$D:$AM, 10, FALSE), 1)</f>
        <v>2.404649505445593E-3</v>
      </c>
      <c r="J8" s="7">
        <f>$B8 * IFERROR(VLOOKUP("LULUCF|PM25|Asthma symptoms wheeze", US_national_yearly!$D:$AM, 18, FALSE) / VLOOKUP("LULUCF|PM25|Asthma symptoms wheeze", US_national_yearly!$D:$AM, 10, FALSE), 1)</f>
        <v>2.404649505445593E-3</v>
      </c>
      <c r="K8" s="7">
        <f>$B8 * IFERROR(VLOOKUP("LULUCF|PM25|Asthma symptoms wheeze", US_national_yearly!$D:$AM, 19, FALSE) / VLOOKUP("LULUCF|PM25|Asthma symptoms wheeze", US_national_yearly!$D:$AM, 10, FALSE), 1)</f>
        <v>2.404649505445593E-3</v>
      </c>
      <c r="L8" s="7">
        <f>$B8 * IFERROR(VLOOKUP("LULUCF|PM25|Asthma symptoms wheeze", US_national_yearly!$D:$AM, 20, FALSE) / VLOOKUP("LULUCF|PM25|Asthma symptoms wheeze", US_national_yearly!$D:$AM, 10, FALSE), 1)</f>
        <v>2.404649505445593E-3</v>
      </c>
      <c r="M8" s="7">
        <f>$B8 * IFERROR(VLOOKUP("LULUCF|PM25|Asthma symptoms wheeze", US_national_yearly!$D:$AM, 21, FALSE) / VLOOKUP("LULUCF|PM25|Asthma symptoms wheeze", US_national_yearly!$D:$AM, 10, FALSE), 1)</f>
        <v>2.404649505445593E-3</v>
      </c>
      <c r="N8" s="7">
        <f>$B8 * IFERROR(VLOOKUP("LULUCF|PM25|Asthma symptoms wheeze", US_national_yearly!$D:$AM, 22, FALSE) / VLOOKUP("LULUCF|PM25|Asthma symptoms wheeze", US_national_yearly!$D:$AM, 10, FALSE), 1)</f>
        <v>2.404649505445593E-3</v>
      </c>
      <c r="O8" s="7">
        <f>$B8 * IFERROR(VLOOKUP("LULUCF|PM25|Asthma symptoms wheeze", US_national_yearly!$D:$AM, 23, FALSE) / VLOOKUP("LULUCF|PM25|Asthma symptoms wheeze", US_national_yearly!$D:$AM, 10, FALSE), 1)</f>
        <v>2.404649505445593E-3</v>
      </c>
      <c r="P8" s="7">
        <f>$B8 * IFERROR(VLOOKUP("LULUCF|PM25|Asthma symptoms wheeze", US_national_yearly!$D:$AM, 24, FALSE) / VLOOKUP("LULUCF|PM25|Asthma symptoms wheeze", US_national_yearly!$D:$AM, 10, FALSE), 1)</f>
        <v>2.404649505445593E-3</v>
      </c>
      <c r="Q8" s="7">
        <f>$B8 * IFERROR(VLOOKUP("LULUCF|PM25|Asthma symptoms wheeze", US_national_yearly!$D:$AM, 25, FALSE) / VLOOKUP("LULUCF|PM25|Asthma symptoms wheeze", US_national_yearly!$D:$AM, 10, FALSE), 1)</f>
        <v>2.404649505445593E-3</v>
      </c>
      <c r="R8" s="7">
        <f>$B8 * IFERROR(VLOOKUP("LULUCF|PM25|Asthma symptoms wheeze", US_national_yearly!$D:$AM, 26, FALSE) / VLOOKUP("LULUCF|PM25|Asthma symptoms wheeze", US_national_yearly!$D:$AM, 10, FALSE), 1)</f>
        <v>2.404649505445593E-3</v>
      </c>
      <c r="S8" s="7">
        <f>$B8 * IFERROR(VLOOKUP("LULUCF|PM25|Asthma symptoms wheeze", US_national_yearly!$D:$AM, 27, FALSE) / VLOOKUP("LULUCF|PM25|Asthma symptoms wheeze", US_national_yearly!$D:$AM, 10, FALSE), 1)</f>
        <v>2.404649505445593E-3</v>
      </c>
      <c r="T8" s="7">
        <f>$B8 * IFERROR(VLOOKUP("LULUCF|PM25|Asthma symptoms wheeze", US_national_yearly!$D:$AM, 28, FALSE) / VLOOKUP("LULUCF|PM25|Asthma symptoms wheeze", US_national_yearly!$D:$AM, 10, FALSE), 1)</f>
        <v>2.404649505445593E-3</v>
      </c>
      <c r="U8" s="7">
        <f>$B8 * IFERROR(VLOOKUP("LULUCF|PM25|Asthma symptoms wheeze", US_national_yearly!$D:$AM, 29, FALSE) / VLOOKUP("LULUCF|PM25|Asthma symptoms wheeze", US_national_yearly!$D:$AM, 10, FALSE), 1)</f>
        <v>2.404649505445593E-3</v>
      </c>
      <c r="V8" s="7">
        <f>$B8 * IFERROR(VLOOKUP("LULUCF|PM25|Asthma symptoms wheeze", US_national_yearly!$D:$AM, 30, FALSE) / VLOOKUP("LULUCF|PM25|Asthma symptoms wheeze", US_national_yearly!$D:$AM, 10, FALSE), 1)</f>
        <v>2.404649505445593E-3</v>
      </c>
      <c r="W8" s="7">
        <f>$B8 * IFERROR(VLOOKUP("LULUCF|PM25|Asthma symptoms wheeze", US_national_yearly!$D:$AM, 31, FALSE) / VLOOKUP("LULUCF|PM25|Asthma symptoms wheeze", US_national_yearly!$D:$AM, 10, FALSE), 1)</f>
        <v>2.404649505445593E-3</v>
      </c>
      <c r="X8" s="7">
        <f>$B8 * IFERROR(VLOOKUP("LULUCF|PM25|Asthma symptoms wheeze", US_national_yearly!$D:$AM, 32, FALSE) / VLOOKUP("LULUCF|PM25|Asthma symptoms wheeze", US_national_yearly!$D:$AM, 10, FALSE), 1)</f>
        <v>2.404649505445593E-3</v>
      </c>
      <c r="Y8" s="7">
        <f>$B8 * IFERROR(VLOOKUP("LULUCF|PM25|Asthma symptoms wheeze", US_national_yearly!$D:$AM, 33, FALSE) / VLOOKUP("LULUCF|PM25|Asthma symptoms wheeze", US_national_yearly!$D:$AM, 10, FALSE), 1)</f>
        <v>2.404649505445593E-3</v>
      </c>
      <c r="Z8" s="7">
        <f>$B8 * IFERROR(VLOOKUP("LULUCF|PM25|Asthma symptoms wheeze", US_national_yearly!$D:$AM, 34, FALSE) / VLOOKUP("LULUCF|PM25|Asthma symptoms wheeze", US_national_yearly!$D:$AM, 10, FALSE), 1)</f>
        <v>2.404649505445593E-3</v>
      </c>
      <c r="AA8" s="7">
        <f>$B8 * IFERROR(VLOOKUP("LULUCF|PM25|Asthma symptoms wheeze", US_national_yearly!$D:$AM, 35, FALSE) / VLOOKUP("LULUCF|PM25|Asthma symptoms wheeze", US_national_yearly!$D:$AM, 10, FALSE), 1)</f>
        <v>2.404649505445593E-3</v>
      </c>
      <c r="AB8" s="7">
        <f>$B8 * IFERROR(VLOOKUP("LULUCF|PM25|Asthma symptoms wheeze", US_national_yearly!$D:$AM, 36, FALSE) / VLOOKUP("LULUCF|PM25|Asthma symptoms wheeze", US_national_yearly!$D:$AM, 10, FALSE), 1)</f>
        <v>2.404649505445593E-3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2.5465833119077999E-5</v>
      </c>
      <c r="C12" s="7">
        <f>$B12 * IFERROR(VLOOKUP("LULUCF|PM25|Respiratory hospital admissions", US_national_yearly!$D:$AM, 11, FALSE) / VLOOKUP("LULUCF|PM25|Respiratory hospital admissions", US_national_yearly!$D:$AM, 10, FALSE), 1)</f>
        <v>2.5611793010335467E-5</v>
      </c>
      <c r="D12" s="7">
        <f>$B12 * IFERROR(VLOOKUP("LULUCF|PM25|Respiratory hospital admissions", US_national_yearly!$D:$AM, 12, FALSE) / VLOOKUP("LULUCF|PM25|Respiratory hospital admissions", US_national_yearly!$D:$AM, 10, FALSE), 1)</f>
        <v>2.5757752901592929E-5</v>
      </c>
      <c r="E12" s="7">
        <f>$B12 * IFERROR(VLOOKUP("LULUCF|PM25|Respiratory hospital admissions", US_national_yearly!$D:$AM, 13, FALSE) / VLOOKUP("LULUCF|PM25|Respiratory hospital admissions", US_national_yearly!$D:$AM, 10, FALSE), 1)</f>
        <v>2.5903712792850394E-5</v>
      </c>
      <c r="F12" s="7">
        <f>$B12 * IFERROR(VLOOKUP("LULUCF|PM25|Respiratory hospital admissions", US_national_yearly!$D:$AM, 14, FALSE) / VLOOKUP("LULUCF|PM25|Respiratory hospital admissions", US_national_yearly!$D:$AM, 10, FALSE), 1)</f>
        <v>2.6049672684107856E-5</v>
      </c>
      <c r="G12" s="7">
        <f>$B12 * IFERROR(VLOOKUP("LULUCF|PM25|Respiratory hospital admissions", US_national_yearly!$D:$AM, 15, FALSE) / VLOOKUP("LULUCF|PM25|Respiratory hospital admissions", US_national_yearly!$D:$AM, 10, FALSE), 1)</f>
        <v>2.6207315592625321E-5</v>
      </c>
      <c r="H12" s="7">
        <f>$B12 * IFERROR(VLOOKUP("LULUCF|PM25|Respiratory hospital admissions", US_national_yearly!$D:$AM, 16, FALSE) / VLOOKUP("LULUCF|PM25|Respiratory hospital admissions", US_national_yearly!$D:$AM, 10, FALSE), 1)</f>
        <v>2.6364958501142782E-5</v>
      </c>
      <c r="I12" s="7">
        <f>$B12 * IFERROR(VLOOKUP("LULUCF|PM25|Respiratory hospital admissions", US_national_yearly!$D:$AM, 17, FALSE) / VLOOKUP("LULUCF|PM25|Respiratory hospital admissions", US_national_yearly!$D:$AM, 10, FALSE), 1)</f>
        <v>2.6515580310823483E-5</v>
      </c>
      <c r="J12" s="7">
        <f>$B12 * IFERROR(VLOOKUP("LULUCF|PM25|Respiratory hospital admissions", US_national_yearly!$D:$AM, 18, FALSE) / VLOOKUP("LULUCF|PM25|Respiratory hospital admissions", US_national_yearly!$D:$AM, 10, FALSE), 1)</f>
        <v>2.6666202120504194E-5</v>
      </c>
      <c r="K12" s="7">
        <f>$B12 * IFERROR(VLOOKUP("LULUCF|PM25|Respiratory hospital admissions", US_national_yearly!$D:$AM, 19, FALSE) / VLOOKUP("LULUCF|PM25|Respiratory hospital admissions", US_national_yearly!$D:$AM, 10, FALSE), 1)</f>
        <v>2.6816823930184901E-5</v>
      </c>
      <c r="L12" s="7">
        <f>$B12 * IFERROR(VLOOKUP("LULUCF|PM25|Respiratory hospital admissions", US_national_yearly!$D:$AM, 20, FALSE) / VLOOKUP("LULUCF|PM25|Respiratory hospital admissions", US_national_yearly!$D:$AM, 10, FALSE), 1)</f>
        <v>2.6967445739865612E-5</v>
      </c>
      <c r="M12" s="7">
        <f>$B12 * IFERROR(VLOOKUP("LULUCF|PM25|Respiratory hospital admissions", US_national_yearly!$D:$AM, 21, FALSE) / VLOOKUP("LULUCF|PM25|Respiratory hospital admissions", US_national_yearly!$D:$AM, 10, FALSE), 1)</f>
        <v>2.7118067549546313E-5</v>
      </c>
      <c r="N12" s="7">
        <f>$B12 * IFERROR(VLOOKUP("LULUCF|PM25|Respiratory hospital admissions", US_national_yearly!$D:$AM, 22, FALSE) / VLOOKUP("LULUCF|PM25|Respiratory hospital admissions", US_national_yearly!$D:$AM, 10, FALSE), 1)</f>
        <v>2.7226173217774054E-5</v>
      </c>
      <c r="O12" s="7">
        <f>$B12 * IFERROR(VLOOKUP("LULUCF|PM25|Respiratory hospital admissions", US_national_yearly!$D:$AM, 23, FALSE) / VLOOKUP("LULUCF|PM25|Respiratory hospital admissions", US_national_yearly!$D:$AM, 10, FALSE), 1)</f>
        <v>2.7334278886001789E-5</v>
      </c>
      <c r="P12" s="7">
        <f>$B12 * IFERROR(VLOOKUP("LULUCF|PM25|Respiratory hospital admissions", US_national_yearly!$D:$AM, 24, FALSE) / VLOOKUP("LULUCF|PM25|Respiratory hospital admissions", US_national_yearly!$D:$AM, 10, FALSE), 1)</f>
        <v>2.744238455422952E-5</v>
      </c>
      <c r="Q12" s="7">
        <f>$B12 * IFERROR(VLOOKUP("LULUCF|PM25|Respiratory hospital admissions", US_national_yearly!$D:$AM, 25, FALSE) / VLOOKUP("LULUCF|PM25|Respiratory hospital admissions", US_national_yearly!$D:$AM, 10, FALSE), 1)</f>
        <v>2.7550490222457255E-5</v>
      </c>
      <c r="R12" s="7">
        <f>$B12 * IFERROR(VLOOKUP("LULUCF|PM25|Respiratory hospital admissions", US_national_yearly!$D:$AM, 26, FALSE) / VLOOKUP("LULUCF|PM25|Respiratory hospital admissions", US_national_yearly!$D:$AM, 10, FALSE), 1)</f>
        <v>2.7658595890684996E-5</v>
      </c>
      <c r="S12" s="7">
        <f>$B12 * IFERROR(VLOOKUP("LULUCF|PM25|Respiratory hospital admissions", US_national_yearly!$D:$AM, 27, FALSE) / VLOOKUP("LULUCF|PM25|Respiratory hospital admissions", US_national_yearly!$D:$AM, 10, FALSE), 1)</f>
        <v>2.7761526731691447E-5</v>
      </c>
      <c r="T12" s="7">
        <f>$B12 * IFERROR(VLOOKUP("LULUCF|PM25|Respiratory hospital admissions", US_national_yearly!$D:$AM, 28, FALSE) / VLOOKUP("LULUCF|PM25|Respiratory hospital admissions", US_national_yearly!$D:$AM, 10, FALSE), 1)</f>
        <v>2.7864457572697908E-5</v>
      </c>
      <c r="U12" s="7">
        <f>$B12 * IFERROR(VLOOKUP("LULUCF|PM25|Respiratory hospital admissions", US_national_yearly!$D:$AM, 29, FALSE) / VLOOKUP("LULUCF|PM25|Respiratory hospital admissions", US_national_yearly!$D:$AM, 10, FALSE), 1)</f>
        <v>2.7967388413704359E-5</v>
      </c>
      <c r="V12" s="7">
        <f>$B12 * IFERROR(VLOOKUP("LULUCF|PM25|Respiratory hospital admissions", US_national_yearly!$D:$AM, 30, FALSE) / VLOOKUP("LULUCF|PM25|Respiratory hospital admissions", US_national_yearly!$D:$AM, 10, FALSE), 1)</f>
        <v>2.8070319254710813E-5</v>
      </c>
      <c r="W12" s="7">
        <f>$B12 * IFERROR(VLOOKUP("LULUCF|PM25|Respiratory hospital admissions", US_national_yearly!$D:$AM, 31, FALSE) / VLOOKUP("LULUCF|PM25|Respiratory hospital admissions", US_national_yearly!$D:$AM, 10, FALSE), 1)</f>
        <v>2.8173250095717264E-5</v>
      </c>
      <c r="X12" s="7">
        <f>$B12 * IFERROR(VLOOKUP("LULUCF|PM25|Respiratory hospital admissions", US_national_yearly!$D:$AM, 32, FALSE) / VLOOKUP("LULUCF|PM25|Respiratory hospital admissions", US_national_yearly!$D:$AM, 10, FALSE), 1)</f>
        <v>2.82722708777688E-5</v>
      </c>
      <c r="Y12" s="7">
        <f>$B12 * IFERROR(VLOOKUP("LULUCF|PM25|Respiratory hospital admissions", US_national_yearly!$D:$AM, 33, FALSE) / VLOOKUP("LULUCF|PM25|Respiratory hospital admissions", US_national_yearly!$D:$AM, 10, FALSE), 1)</f>
        <v>2.8371291659820322E-5</v>
      </c>
      <c r="Z12" s="7">
        <f>$B12 * IFERROR(VLOOKUP("LULUCF|PM25|Respiratory hospital admissions", US_national_yearly!$D:$AM, 34, FALSE) / VLOOKUP("LULUCF|PM25|Respiratory hospital admissions", US_national_yearly!$D:$AM, 10, FALSE), 1)</f>
        <v>2.8470312441871851E-5</v>
      </c>
      <c r="AA12" s="7">
        <f>$B12 * IFERROR(VLOOKUP("LULUCF|PM25|Respiratory hospital admissions", US_national_yearly!$D:$AM, 35, FALSE) / VLOOKUP("LULUCF|PM25|Respiratory hospital admissions", US_national_yearly!$D:$AM, 10, FALSE), 1)</f>
        <v>2.8569333223923373E-5</v>
      </c>
      <c r="AB12" s="7">
        <f>$B12 * IFERROR(VLOOKUP("LULUCF|PM25|Respiratory hospital admissions", US_national_yearly!$D:$AM, 36, FALSE) / VLOOKUP("LULUCF|PM25|Respiratory hospital admissions", US_national_yearly!$D:$AM, 10, FALSE), 1)</f>
        <v>2.8668354005974898E-5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1.7850008910382754E-4</v>
      </c>
      <c r="C13" s="7">
        <f>$B13 * IFERROR(VLOOKUP("LULUCF|PM25|Non-fatal heart attacks", US_national_yearly!$D:$AM, 11, FALSE) / VLOOKUP("LULUCF|PM25|Non-fatal heart attacks", US_national_yearly!$D:$AM, 10, FALSE), 1)</f>
        <v>1.8368956037909906E-4</v>
      </c>
      <c r="D13" s="7">
        <f>$B13 * IFERROR(VLOOKUP("LULUCF|PM25|Non-fatal heart attacks", US_national_yearly!$D:$AM, 12, FALSE) / VLOOKUP("LULUCF|PM25|Non-fatal heart attacks", US_national_yearly!$D:$AM, 10, FALSE), 1)</f>
        <v>1.8887903165437059E-4</v>
      </c>
      <c r="E13" s="7">
        <f>$B13 * IFERROR(VLOOKUP("LULUCF|PM25|Non-fatal heart attacks", US_national_yearly!$D:$AM, 13, FALSE) / VLOOKUP("LULUCF|PM25|Non-fatal heart attacks", US_national_yearly!$D:$AM, 10, FALSE), 1)</f>
        <v>1.9406850292964209E-4</v>
      </c>
      <c r="F13" s="7">
        <f>$B13 * IFERROR(VLOOKUP("LULUCF|PM25|Non-fatal heart attacks", US_national_yearly!$D:$AM, 14, FALSE) / VLOOKUP("LULUCF|PM25|Non-fatal heart attacks", US_national_yearly!$D:$AM, 10, FALSE), 1)</f>
        <v>1.9925797420491365E-4</v>
      </c>
      <c r="G13" s="7">
        <f>$B13 * IFERROR(VLOOKUP("LULUCF|PM25|Non-fatal heart attacks", US_national_yearly!$D:$AM, 15, FALSE) / VLOOKUP("LULUCF|PM25|Non-fatal heart attacks", US_national_yearly!$D:$AM, 10, FALSE), 1)</f>
        <v>2.0415197368950835E-4</v>
      </c>
      <c r="H13" s="7">
        <f>$B13 * IFERROR(VLOOKUP("LULUCF|PM25|Non-fatal heart attacks", US_national_yearly!$D:$AM, 16, FALSE) / VLOOKUP("LULUCF|PM25|Non-fatal heart attacks", US_national_yearly!$D:$AM, 10, FALSE), 1)</f>
        <v>2.09045973174103E-4</v>
      </c>
      <c r="I13" s="7">
        <f>$B13 * IFERROR(VLOOKUP("LULUCF|PM25|Non-fatal heart attacks", US_national_yearly!$D:$AM, 17, FALSE) / VLOOKUP("LULUCF|PM25|Non-fatal heart attacks", US_national_yearly!$D:$AM, 10, FALSE), 1)</f>
        <v>2.1297912025689127E-4</v>
      </c>
      <c r="J13" s="7">
        <f>$B13 * IFERROR(VLOOKUP("LULUCF|PM25|Non-fatal heart attacks", US_national_yearly!$D:$AM, 18, FALSE) / VLOOKUP("LULUCF|PM25|Non-fatal heart attacks", US_national_yearly!$D:$AM, 10, FALSE), 1)</f>
        <v>2.1691226733967954E-4</v>
      </c>
      <c r="K13" s="7">
        <f>$B13 * IFERROR(VLOOKUP("LULUCF|PM25|Non-fatal heart attacks", US_national_yearly!$D:$AM, 19, FALSE) / VLOOKUP("LULUCF|PM25|Non-fatal heart attacks", US_national_yearly!$D:$AM, 10, FALSE), 1)</f>
        <v>2.2084541442246784E-4</v>
      </c>
      <c r="L13" s="7">
        <f>$B13 * IFERROR(VLOOKUP("LULUCF|PM25|Non-fatal heart attacks", US_national_yearly!$D:$AM, 20, FALSE) / VLOOKUP("LULUCF|PM25|Non-fatal heart attacks", US_national_yearly!$D:$AM, 10, FALSE), 1)</f>
        <v>2.247785615052561E-4</v>
      </c>
      <c r="M13" s="7">
        <f>$B13 * IFERROR(VLOOKUP("LULUCF|PM25|Non-fatal heart attacks", US_national_yearly!$D:$AM, 21, FALSE) / VLOOKUP("LULUCF|PM25|Non-fatal heart attacks", US_national_yearly!$D:$AM, 10, FALSE), 1)</f>
        <v>2.287117085880444E-4</v>
      </c>
      <c r="N13" s="7">
        <f>$B13 * IFERROR(VLOOKUP("LULUCF|PM25|Non-fatal heart attacks", US_national_yearly!$D:$AM, 22, FALSE) / VLOOKUP("LULUCF|PM25|Non-fatal heart attacks", US_national_yearly!$D:$AM, 10, FALSE), 1)</f>
        <v>2.3124820007594751E-4</v>
      </c>
      <c r="O13" s="7">
        <f>$B13 * IFERROR(VLOOKUP("LULUCF|PM25|Non-fatal heart attacks", US_national_yearly!$D:$AM, 23, FALSE) / VLOOKUP("LULUCF|PM25|Non-fatal heart attacks", US_national_yearly!$D:$AM, 10, FALSE), 1)</f>
        <v>2.3378469156385066E-4</v>
      </c>
      <c r="P13" s="7">
        <f>$B13 * IFERROR(VLOOKUP("LULUCF|PM25|Non-fatal heart attacks", US_national_yearly!$D:$AM, 24, FALSE) / VLOOKUP("LULUCF|PM25|Non-fatal heart attacks", US_national_yearly!$D:$AM, 10, FALSE), 1)</f>
        <v>2.363211830517538E-4</v>
      </c>
      <c r="Q13" s="7">
        <f>$B13 * IFERROR(VLOOKUP("LULUCF|PM25|Non-fatal heart attacks", US_national_yearly!$D:$AM, 25, FALSE) / VLOOKUP("LULUCF|PM25|Non-fatal heart attacks", US_national_yearly!$D:$AM, 10, FALSE), 1)</f>
        <v>2.3885767453965689E-4</v>
      </c>
      <c r="R13" s="7">
        <f>$B13 * IFERROR(VLOOKUP("LULUCF|PM25|Non-fatal heart attacks", US_national_yearly!$D:$AM, 26, FALSE) / VLOOKUP("LULUCF|PM25|Non-fatal heart attacks", US_national_yearly!$D:$AM, 10, FALSE), 1)</f>
        <v>2.4139416602756003E-4</v>
      </c>
      <c r="S13" s="7">
        <f>$B13 * IFERROR(VLOOKUP("LULUCF|PM25|Non-fatal heart attacks", US_national_yearly!$D:$AM, 27, FALSE) / VLOOKUP("LULUCF|PM25|Non-fatal heart attacks", US_national_yearly!$D:$AM, 10, FALSE), 1)</f>
        <v>2.4272995491209857E-4</v>
      </c>
      <c r="T13" s="7">
        <f>$B13 * IFERROR(VLOOKUP("LULUCF|PM25|Non-fatal heart attacks", US_national_yearly!$D:$AM, 28, FALSE) / VLOOKUP("LULUCF|PM25|Non-fatal heart attacks", US_national_yearly!$D:$AM, 10, FALSE), 1)</f>
        <v>2.440657437966372E-4</v>
      </c>
      <c r="U13" s="7">
        <f>$B13 * IFERROR(VLOOKUP("LULUCF|PM25|Non-fatal heart attacks", US_national_yearly!$D:$AM, 29, FALSE) / VLOOKUP("LULUCF|PM25|Non-fatal heart attacks", US_national_yearly!$D:$AM, 10, FALSE), 1)</f>
        <v>2.4540153268117582E-4</v>
      </c>
      <c r="V13" s="7">
        <f>$B13 * IFERROR(VLOOKUP("LULUCF|PM25|Non-fatal heart attacks", US_national_yearly!$D:$AM, 30, FALSE) / VLOOKUP("LULUCF|PM25|Non-fatal heart attacks", US_national_yearly!$D:$AM, 10, FALSE), 1)</f>
        <v>2.467373215657144E-4</v>
      </c>
      <c r="W13" s="7">
        <f>$B13 * IFERROR(VLOOKUP("LULUCF|PM25|Non-fatal heart attacks", US_national_yearly!$D:$AM, 31, FALSE) / VLOOKUP("LULUCF|PM25|Non-fatal heart attacks", US_national_yearly!$D:$AM, 10, FALSE), 1)</f>
        <v>2.4807311045025297E-4</v>
      </c>
      <c r="X13" s="7">
        <f>$B13 * IFERROR(VLOOKUP("LULUCF|PM25|Non-fatal heart attacks", US_national_yearly!$D:$AM, 32, FALSE) / VLOOKUP("LULUCF|PM25|Non-fatal heart attacks", US_national_yearly!$D:$AM, 10, FALSE), 1)</f>
        <v>2.4908716736472082E-4</v>
      </c>
      <c r="Y13" s="7">
        <f>$B13 * IFERROR(VLOOKUP("LULUCF|PM25|Non-fatal heart attacks", US_national_yearly!$D:$AM, 33, FALSE) / VLOOKUP("LULUCF|PM25|Non-fatal heart attacks", US_national_yearly!$D:$AM, 10, FALSE), 1)</f>
        <v>2.5010122427918867E-4</v>
      </c>
      <c r="Z13" s="7">
        <f>$B13 * IFERROR(VLOOKUP("LULUCF|PM25|Non-fatal heart attacks", US_national_yearly!$D:$AM, 34, FALSE) / VLOOKUP("LULUCF|PM25|Non-fatal heart attacks", US_national_yearly!$D:$AM, 10, FALSE), 1)</f>
        <v>2.5111528119365652E-4</v>
      </c>
      <c r="AA13" s="7">
        <f>$B13 * IFERROR(VLOOKUP("LULUCF|PM25|Non-fatal heart attacks", US_national_yearly!$D:$AM, 35, FALSE) / VLOOKUP("LULUCF|PM25|Non-fatal heart attacks", US_national_yearly!$D:$AM, 10, FALSE), 1)</f>
        <v>2.5212933810812442E-4</v>
      </c>
      <c r="AB13" s="7">
        <f>$B13 * IFERROR(VLOOKUP("LULUCF|PM25|Non-fatal heart attacks", US_national_yearly!$D:$AM, 36, FALSE) / VLOOKUP("LULUCF|PM25|Non-fatal heart attacks", US_national_yearly!$D:$AM, 10, FALSE), 1)</f>
        <v>2.5314339502259222E-4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0.14310202830414645</v>
      </c>
      <c r="C14" s="7">
        <f>$B14 * IFERROR(VLOOKUP("LULUCF|PM25|Minor restricted activity days", US_national_yearly!$D:$AM, 11, FALSE) / VLOOKUP("LULUCF|PM25|Minor restricted activity days", US_national_yearly!$D:$AM, 10, FALSE), 1)</f>
        <v>0.1434515004278612</v>
      </c>
      <c r="D14" s="7">
        <f>$B14 * IFERROR(VLOOKUP("LULUCF|PM25|Minor restricted activity days", US_national_yearly!$D:$AM, 12, FALSE) / VLOOKUP("LULUCF|PM25|Minor restricted activity days", US_national_yearly!$D:$AM, 10, FALSE), 1)</f>
        <v>0.14380097255157592</v>
      </c>
      <c r="E14" s="7">
        <f>$B14 * IFERROR(VLOOKUP("LULUCF|PM25|Minor restricted activity days", US_national_yearly!$D:$AM, 13, FALSE) / VLOOKUP("LULUCF|PM25|Minor restricted activity days", US_national_yearly!$D:$AM, 10, FALSE), 1)</f>
        <v>0.1441504446752907</v>
      </c>
      <c r="F14" s="7">
        <f>$B14 * IFERROR(VLOOKUP("LULUCF|PM25|Minor restricted activity days", US_national_yearly!$D:$AM, 14, FALSE) / VLOOKUP("LULUCF|PM25|Minor restricted activity days", US_national_yearly!$D:$AM, 10, FALSE), 1)</f>
        <v>0.14449991679900542</v>
      </c>
      <c r="G14" s="7">
        <f>$B14 * IFERROR(VLOOKUP("LULUCF|PM25|Minor restricted activity days", US_national_yearly!$D:$AM, 15, FALSE) / VLOOKUP("LULUCF|PM25|Minor restricted activity days", US_national_yearly!$D:$AM, 10, FALSE), 1)</f>
        <v>0.14501555245875219</v>
      </c>
      <c r="H14" s="7">
        <f>$B14 * IFERROR(VLOOKUP("LULUCF|PM25|Minor restricted activity days", US_national_yearly!$D:$AM, 16, FALSE) / VLOOKUP("LULUCF|PM25|Minor restricted activity days", US_national_yearly!$D:$AM, 10, FALSE), 1)</f>
        <v>0.14553118811849897</v>
      </c>
      <c r="I14" s="7">
        <f>$B14 * IFERROR(VLOOKUP("LULUCF|PM25|Minor restricted activity days", US_national_yearly!$D:$AM, 17, FALSE) / VLOOKUP("LULUCF|PM25|Minor restricted activity days", US_national_yearly!$D:$AM, 10, FALSE), 1)</f>
        <v>0.14641268897205664</v>
      </c>
      <c r="J14" s="7">
        <f>$B14 * IFERROR(VLOOKUP("LULUCF|PM25|Minor restricted activity days", US_national_yearly!$D:$AM, 18, FALSE) / VLOOKUP("LULUCF|PM25|Minor restricted activity days", US_national_yearly!$D:$AM, 10, FALSE), 1)</f>
        <v>0.14729418982561426</v>
      </c>
      <c r="K14" s="7">
        <f>$B14 * IFERROR(VLOOKUP("LULUCF|PM25|Minor restricted activity days", US_national_yearly!$D:$AM, 19, FALSE) / VLOOKUP("LULUCF|PM25|Minor restricted activity days", US_national_yearly!$D:$AM, 10, FALSE), 1)</f>
        <v>0.14817569067917197</v>
      </c>
      <c r="L14" s="7">
        <f>$B14 * IFERROR(VLOOKUP("LULUCF|PM25|Minor restricted activity days", US_national_yearly!$D:$AM, 20, FALSE) / VLOOKUP("LULUCF|PM25|Minor restricted activity days", US_national_yearly!$D:$AM, 10, FALSE), 1)</f>
        <v>0.14905719153272962</v>
      </c>
      <c r="M14" s="7">
        <f>$B14 * IFERROR(VLOOKUP("LULUCF|PM25|Minor restricted activity days", US_national_yearly!$D:$AM, 21, FALSE) / VLOOKUP("LULUCF|PM25|Minor restricted activity days", US_national_yearly!$D:$AM, 10, FALSE), 1)</f>
        <v>0.14993869238628726</v>
      </c>
      <c r="N14" s="7">
        <f>$B14 * IFERROR(VLOOKUP("LULUCF|PM25|Minor restricted activity days", US_national_yearly!$D:$AM, 22, FALSE) / VLOOKUP("LULUCF|PM25|Minor restricted activity days", US_national_yearly!$D:$AM, 10, FALSE), 1)</f>
        <v>0.15113947205534062</v>
      </c>
      <c r="O14" s="7">
        <f>$B14 * IFERROR(VLOOKUP("LULUCF|PM25|Minor restricted activity days", US_national_yearly!$D:$AM, 23, FALSE) / VLOOKUP("LULUCF|PM25|Minor restricted activity days", US_national_yearly!$D:$AM, 10, FALSE), 1)</f>
        <v>0.15234025172439394</v>
      </c>
      <c r="P14" s="7">
        <f>$B14 * IFERROR(VLOOKUP("LULUCF|PM25|Minor restricted activity days", US_national_yearly!$D:$AM, 24, FALSE) / VLOOKUP("LULUCF|PM25|Minor restricted activity days", US_national_yearly!$D:$AM, 10, FALSE), 1)</f>
        <v>0.1535410313934473</v>
      </c>
      <c r="Q14" s="7">
        <f>$B14 * IFERROR(VLOOKUP("LULUCF|PM25|Minor restricted activity days", US_national_yearly!$D:$AM, 25, FALSE) / VLOOKUP("LULUCF|PM25|Minor restricted activity days", US_national_yearly!$D:$AM, 10, FALSE), 1)</f>
        <v>0.15474181106250062</v>
      </c>
      <c r="R14" s="7">
        <f>$B14 * IFERROR(VLOOKUP("LULUCF|PM25|Minor restricted activity days", US_national_yearly!$D:$AM, 26, FALSE) / VLOOKUP("LULUCF|PM25|Minor restricted activity days", US_national_yearly!$D:$AM, 10, FALSE), 1)</f>
        <v>0.15594259073155395</v>
      </c>
      <c r="S14" s="7">
        <f>$B14 * IFERROR(VLOOKUP("LULUCF|PM25|Minor restricted activity days", US_national_yearly!$D:$AM, 27, FALSE) / VLOOKUP("LULUCF|PM25|Minor restricted activity days", US_national_yearly!$D:$AM, 10, FALSE), 1)</f>
        <v>0.15715163977671731</v>
      </c>
      <c r="T14" s="7">
        <f>$B14 * IFERROR(VLOOKUP("LULUCF|PM25|Minor restricted activity days", US_national_yearly!$D:$AM, 28, FALSE) / VLOOKUP("LULUCF|PM25|Minor restricted activity days", US_national_yearly!$D:$AM, 10, FALSE), 1)</f>
        <v>0.15836068882188065</v>
      </c>
      <c r="U14" s="7">
        <f>$B14 * IFERROR(VLOOKUP("LULUCF|PM25|Minor restricted activity days", US_national_yearly!$D:$AM, 29, FALSE) / VLOOKUP("LULUCF|PM25|Minor restricted activity days", US_national_yearly!$D:$AM, 10, FALSE), 1)</f>
        <v>0.15956973786704401</v>
      </c>
      <c r="V14" s="7">
        <f>$B14 * IFERROR(VLOOKUP("LULUCF|PM25|Minor restricted activity days", US_national_yearly!$D:$AM, 30, FALSE) / VLOOKUP("LULUCF|PM25|Minor restricted activity days", US_national_yearly!$D:$AM, 10, FALSE), 1)</f>
        <v>0.16077878691220737</v>
      </c>
      <c r="W14" s="7">
        <f>$B14 * IFERROR(VLOOKUP("LULUCF|PM25|Minor restricted activity days", US_national_yearly!$D:$AM, 31, FALSE) / VLOOKUP("LULUCF|PM25|Minor restricted activity days", US_national_yearly!$D:$AM, 10, FALSE), 1)</f>
        <v>0.16198783595737071</v>
      </c>
      <c r="X14" s="7">
        <f>$B14 * IFERROR(VLOOKUP("LULUCF|PM25|Minor restricted activity days", US_national_yearly!$D:$AM, 32, FALSE) / VLOOKUP("LULUCF|PM25|Minor restricted activity days", US_national_yearly!$D:$AM, 10, FALSE), 1)</f>
        <v>0.16303741216122064</v>
      </c>
      <c r="Y14" s="7">
        <f>$B14 * IFERROR(VLOOKUP("LULUCF|PM25|Minor restricted activity days", US_national_yearly!$D:$AM, 33, FALSE) / VLOOKUP("LULUCF|PM25|Minor restricted activity days", US_national_yearly!$D:$AM, 10, FALSE), 1)</f>
        <v>0.16408698836507057</v>
      </c>
      <c r="Z14" s="7">
        <f>$B14 * IFERROR(VLOOKUP("LULUCF|PM25|Minor restricted activity days", US_national_yearly!$D:$AM, 34, FALSE) / VLOOKUP("LULUCF|PM25|Minor restricted activity days", US_national_yearly!$D:$AM, 10, FALSE), 1)</f>
        <v>0.16513656456892051</v>
      </c>
      <c r="AA14" s="7">
        <f>$B14 * IFERROR(VLOOKUP("LULUCF|PM25|Minor restricted activity days", US_national_yearly!$D:$AM, 35, FALSE) / VLOOKUP("LULUCF|PM25|Minor restricted activity days", US_national_yearly!$D:$AM, 10, FALSE), 1)</f>
        <v>0.16618614077277041</v>
      </c>
      <c r="AB14" s="7">
        <f>$B14 * IFERROR(VLOOKUP("LULUCF|PM25|Minor restricted activity days", US_national_yearly!$D:$AM, 36, FALSE) / VLOOKUP("LULUCF|PM25|Minor restricted activity days", US_national_yearly!$D:$AM, 10, FALSE), 1)</f>
        <v>0.16723571697662035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2.4277018214100953E-2</v>
      </c>
      <c r="C15" s="7">
        <f>$B15 * IFERROR(VLOOKUP("LULUCF|PM25|Work loss days", US_national_yearly!$D:$AM, 11, FALSE) / VLOOKUP("LULUCF|PM25|Work loss days", US_national_yearly!$D:$AM, 10, FALSE), 1)</f>
        <v>2.4352268226691707E-2</v>
      </c>
      <c r="D15" s="7">
        <f>$B15 * IFERROR(VLOOKUP("LULUCF|PM25|Work loss days", US_national_yearly!$D:$AM, 12, FALSE) / VLOOKUP("LULUCF|PM25|Work loss days", US_national_yearly!$D:$AM, 10, FALSE), 1)</f>
        <v>2.4427518239282468E-2</v>
      </c>
      <c r="E15" s="7">
        <f>$B15 * IFERROR(VLOOKUP("LULUCF|PM25|Work loss days", US_national_yearly!$D:$AM, 13, FALSE) / VLOOKUP("LULUCF|PM25|Work loss days", US_national_yearly!$D:$AM, 10, FALSE), 1)</f>
        <v>2.4502768251873225E-2</v>
      </c>
      <c r="F15" s="7">
        <f>$B15 * IFERROR(VLOOKUP("LULUCF|PM25|Work loss days", US_national_yearly!$D:$AM, 14, FALSE) / VLOOKUP("LULUCF|PM25|Work loss days", US_national_yearly!$D:$AM, 10, FALSE), 1)</f>
        <v>2.4578018264463979E-2</v>
      </c>
      <c r="G15" s="7">
        <f>$B15 * IFERROR(VLOOKUP("LULUCF|PM25|Work loss days", US_national_yearly!$D:$AM, 15, FALSE) / VLOOKUP("LULUCF|PM25|Work loss days", US_national_yearly!$D:$AM, 10, FALSE), 1)</f>
        <v>2.4676675832745937E-2</v>
      </c>
      <c r="H15" s="7">
        <f>$B15 * IFERROR(VLOOKUP("LULUCF|PM25|Work loss days", US_national_yearly!$D:$AM, 16, FALSE) / VLOOKUP("LULUCF|PM25|Work loss days", US_national_yearly!$D:$AM, 10, FALSE), 1)</f>
        <v>2.4775333401027895E-2</v>
      </c>
      <c r="I15" s="7">
        <f>$B15 * IFERROR(VLOOKUP("LULUCF|PM25|Work loss days", US_national_yearly!$D:$AM, 17, FALSE) / VLOOKUP("LULUCF|PM25|Work loss days", US_national_yearly!$D:$AM, 10, FALSE), 1)</f>
        <v>2.492061752116664E-2</v>
      </c>
      <c r="J15" s="7">
        <f>$B15 * IFERROR(VLOOKUP("LULUCF|PM25|Work loss days", US_national_yearly!$D:$AM, 18, FALSE) / VLOOKUP("LULUCF|PM25|Work loss days", US_national_yearly!$D:$AM, 10, FALSE), 1)</f>
        <v>2.5065901641305382E-2</v>
      </c>
      <c r="K15" s="7">
        <f>$B15 * IFERROR(VLOOKUP("LULUCF|PM25|Work loss days", US_national_yearly!$D:$AM, 19, FALSE) / VLOOKUP("LULUCF|PM25|Work loss days", US_national_yearly!$D:$AM, 10, FALSE), 1)</f>
        <v>2.5211185761444124E-2</v>
      </c>
      <c r="L15" s="7">
        <f>$B15 * IFERROR(VLOOKUP("LULUCF|PM25|Work loss days", US_national_yearly!$D:$AM, 20, FALSE) / VLOOKUP("LULUCF|PM25|Work loss days", US_national_yearly!$D:$AM, 10, FALSE), 1)</f>
        <v>2.5356469881582865E-2</v>
      </c>
      <c r="M15" s="7">
        <f>$B15 * IFERROR(VLOOKUP("LULUCF|PM25|Work loss days", US_national_yearly!$D:$AM, 21, FALSE) / VLOOKUP("LULUCF|PM25|Work loss days", US_national_yearly!$D:$AM, 10, FALSE), 1)</f>
        <v>2.5501754001721607E-2</v>
      </c>
      <c r="N15" s="7">
        <f>$B15 * IFERROR(VLOOKUP("LULUCF|PM25|Work loss days", US_national_yearly!$D:$AM, 22, FALSE) / VLOOKUP("LULUCF|PM25|Work loss days", US_national_yearly!$D:$AM, 10, FALSE), 1)</f>
        <v>2.5684605063297082E-2</v>
      </c>
      <c r="O15" s="7">
        <f>$B15 * IFERROR(VLOOKUP("LULUCF|PM25|Work loss days", US_national_yearly!$D:$AM, 23, FALSE) / VLOOKUP("LULUCF|PM25|Work loss days", US_national_yearly!$D:$AM, 10, FALSE), 1)</f>
        <v>2.5867456124872554E-2</v>
      </c>
      <c r="P15" s="7">
        <f>$B15 * IFERROR(VLOOKUP("LULUCF|PM25|Work loss days", US_national_yearly!$D:$AM, 24, FALSE) / VLOOKUP("LULUCF|PM25|Work loss days", US_national_yearly!$D:$AM, 10, FALSE), 1)</f>
        <v>2.6050307186448032E-2</v>
      </c>
      <c r="Q15" s="7">
        <f>$B15 * IFERROR(VLOOKUP("LULUCF|PM25|Work loss days", US_national_yearly!$D:$AM, 25, FALSE) / VLOOKUP("LULUCF|PM25|Work loss days", US_national_yearly!$D:$AM, 10, FALSE), 1)</f>
        <v>2.6233158248023501E-2</v>
      </c>
      <c r="R15" s="7">
        <f>$B15 * IFERROR(VLOOKUP("LULUCF|PM25|Work loss days", US_national_yearly!$D:$AM, 26, FALSE) / VLOOKUP("LULUCF|PM25|Work loss days", US_national_yearly!$D:$AM, 10, FALSE), 1)</f>
        <v>2.6416009309598979E-2</v>
      </c>
      <c r="S15" s="7">
        <f>$B15 * IFERROR(VLOOKUP("LULUCF|PM25|Work loss days", US_national_yearly!$D:$AM, 27, FALSE) / VLOOKUP("LULUCF|PM25|Work loss days", US_national_yearly!$D:$AM, 10, FALSE), 1)</f>
        <v>2.6618250390244673E-2</v>
      </c>
      <c r="T15" s="7">
        <f>$B15 * IFERROR(VLOOKUP("LULUCF|PM25|Work loss days", US_national_yearly!$D:$AM, 28, FALSE) / VLOOKUP("LULUCF|PM25|Work loss days", US_national_yearly!$D:$AM, 10, FALSE), 1)</f>
        <v>2.6820491470890374E-2</v>
      </c>
      <c r="U15" s="7">
        <f>$B15 * IFERROR(VLOOKUP("LULUCF|PM25|Work loss days", US_national_yearly!$D:$AM, 29, FALSE) / VLOOKUP("LULUCF|PM25|Work loss days", US_national_yearly!$D:$AM, 10, FALSE), 1)</f>
        <v>2.7022732551536064E-2</v>
      </c>
      <c r="V15" s="7">
        <f>$B15 * IFERROR(VLOOKUP("LULUCF|PM25|Work loss days", US_national_yearly!$D:$AM, 30, FALSE) / VLOOKUP("LULUCF|PM25|Work loss days", US_national_yearly!$D:$AM, 10, FALSE), 1)</f>
        <v>2.7224973632181761E-2</v>
      </c>
      <c r="W15" s="7">
        <f>$B15 * IFERROR(VLOOKUP("LULUCF|PM25|Work loss days", US_national_yearly!$D:$AM, 31, FALSE) / VLOOKUP("LULUCF|PM25|Work loss days", US_national_yearly!$D:$AM, 10, FALSE), 1)</f>
        <v>2.7427214712827459E-2</v>
      </c>
      <c r="X15" s="7">
        <f>$B15 * IFERROR(VLOOKUP("LULUCF|PM25|Work loss days", US_national_yearly!$D:$AM, 32, FALSE) / VLOOKUP("LULUCF|PM25|Work loss days", US_national_yearly!$D:$AM, 10, FALSE), 1)</f>
        <v>2.7606657096512235E-2</v>
      </c>
      <c r="Y15" s="7">
        <f>$B15 * IFERROR(VLOOKUP("LULUCF|PM25|Work loss days", US_national_yearly!$D:$AM, 33, FALSE) / VLOOKUP("LULUCF|PM25|Work loss days", US_national_yearly!$D:$AM, 10, FALSE), 1)</f>
        <v>2.7786099480197012E-2</v>
      </c>
      <c r="Z15" s="7">
        <f>$B15 * IFERROR(VLOOKUP("LULUCF|PM25|Work loss days", US_national_yearly!$D:$AM, 34, FALSE) / VLOOKUP("LULUCF|PM25|Work loss days", US_national_yearly!$D:$AM, 10, FALSE), 1)</f>
        <v>2.7965541863881796E-2</v>
      </c>
      <c r="AA15" s="7">
        <f>$B15 * IFERROR(VLOOKUP("LULUCF|PM25|Work loss days", US_national_yearly!$D:$AM, 35, FALSE) / VLOOKUP("LULUCF|PM25|Work loss days", US_national_yearly!$D:$AM, 10, FALSE), 1)</f>
        <v>2.8144984247566576E-2</v>
      </c>
      <c r="AB15" s="7">
        <f>$B15 * IFERROR(VLOOKUP("LULUCF|PM25|Work loss days", US_national_yearly!$D:$AM, 36, FALSE) / VLOOKUP("LULUCF|PM25|Work loss days", US_national_yearly!$D:$AM, 10, FALSE), 1)</f>
        <v>2.8324426631251353E-2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3.4280828313829551E-5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3.5305163368446207E-5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3.6329498423062863E-5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3.7353833477679526E-5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3.8378168532296189E-5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3.9359298540976703E-5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4.0340428549657231E-5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4.1179544799277624E-5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4.2018661048898004E-5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4.285777729851839E-5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4.369689354813879E-5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4.453600979775917E-5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4.5095467759523709E-5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4.5654925721288261E-5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4.6214383683052799E-5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4.6773841644817344E-5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4.733329960658189E-5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4.7629305099948562E-5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4.7925310593315227E-5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4.8221316086681885E-5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4.851732158004855E-5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4.8813327073415215E-5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4.9012601865197076E-5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4.921187665697893E-5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4.9411151448760784E-5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4.9610426240542639E-5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4.9809701032324493E-5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3.8622390387328925E-4</v>
      </c>
      <c r="C2" s="7">
        <f>$B2 * IFERROR(VLOOKUP("LULUCF|NOx|Premature mortality", US_national_yearly!$D:$AM, 11, FALSE) / VLOOKUP("LULUCF|NOx|Premature mortality", US_national_yearly!$D:$AM, 10, FALSE), 1)</f>
        <v>3.918968802049703E-4</v>
      </c>
      <c r="D2" s="7">
        <f>$B2 * IFERROR(VLOOKUP("LULUCF|NOx|Premature mortality", US_national_yearly!$D:$AM, 12, FALSE) / VLOOKUP("LULUCF|NOx|Premature mortality", US_national_yearly!$D:$AM, 10, FALSE), 1)</f>
        <v>3.975698565366513E-4</v>
      </c>
      <c r="E2" s="7">
        <f>$B2 * IFERROR(VLOOKUP("LULUCF|NOx|Premature mortality", US_national_yearly!$D:$AM, 13, FALSE) / VLOOKUP("LULUCF|NOx|Premature mortality", US_national_yearly!$D:$AM, 10, FALSE), 1)</f>
        <v>4.0324283286833235E-4</v>
      </c>
      <c r="F2" s="7">
        <f>$B2 * IFERROR(VLOOKUP("LULUCF|NOx|Premature mortality", US_national_yearly!$D:$AM, 14, FALSE) / VLOOKUP("LULUCF|NOx|Premature mortality", US_national_yearly!$D:$AM, 10, FALSE), 1)</f>
        <v>4.089158092000134E-4</v>
      </c>
      <c r="G2" s="7">
        <f>$B2 * IFERROR(VLOOKUP("LULUCF|NOx|Premature mortality", US_national_yearly!$D:$AM, 15, FALSE) / VLOOKUP("LULUCF|NOx|Premature mortality", US_national_yearly!$D:$AM, 10, FALSE), 1)</f>
        <v>4.191058159206279E-4</v>
      </c>
      <c r="H2" s="7">
        <f>$B2 * IFERROR(VLOOKUP("LULUCF|NOx|Premature mortality", US_national_yearly!$D:$AM, 16, FALSE) / VLOOKUP("LULUCF|NOx|Premature mortality", US_national_yearly!$D:$AM, 10, FALSE), 1)</f>
        <v>4.2929582264124262E-4</v>
      </c>
      <c r="I2" s="7">
        <f>$B2 * IFERROR(VLOOKUP("LULUCF|NOx|Premature mortality", US_national_yearly!$D:$AM, 17, FALSE) / VLOOKUP("LULUCF|NOx|Premature mortality", US_national_yearly!$D:$AM, 10, FALSE), 1)</f>
        <v>4.3587366526991737E-4</v>
      </c>
      <c r="J2" s="7">
        <f>$B2 * IFERROR(VLOOKUP("LULUCF|NOx|Premature mortality", US_national_yearly!$D:$AM, 18, FALSE) / VLOOKUP("LULUCF|NOx|Premature mortality", US_national_yearly!$D:$AM, 10, FALSE), 1)</f>
        <v>4.4245150789859223E-4</v>
      </c>
      <c r="K2" s="7">
        <f>$B2 * IFERROR(VLOOKUP("LULUCF|NOx|Premature mortality", US_national_yearly!$D:$AM, 19, FALSE) / VLOOKUP("LULUCF|NOx|Premature mortality", US_national_yearly!$D:$AM, 10, FALSE), 1)</f>
        <v>4.4902935052726698E-4</v>
      </c>
      <c r="L2" s="7">
        <f>$B2 * IFERROR(VLOOKUP("LULUCF|NOx|Premature mortality", US_national_yearly!$D:$AM, 20, FALSE) / VLOOKUP("LULUCF|NOx|Premature mortality", US_national_yearly!$D:$AM, 10, FALSE), 1)</f>
        <v>4.5560719315594178E-4</v>
      </c>
      <c r="M2" s="7">
        <f>$B2 * IFERROR(VLOOKUP("LULUCF|NOx|Premature mortality", US_national_yearly!$D:$AM, 21, FALSE) / VLOOKUP("LULUCF|NOx|Premature mortality", US_national_yearly!$D:$AM, 10, FALSE), 1)</f>
        <v>4.6218503578461658E-4</v>
      </c>
      <c r="N2" s="7">
        <f>$B2 * IFERROR(VLOOKUP("LULUCF|NOx|Premature mortality", US_national_yearly!$D:$AM, 22, FALSE) / VLOOKUP("LULUCF|NOx|Premature mortality", US_national_yearly!$D:$AM, 10, FALSE), 1)</f>
        <v>4.6705787603228821E-4</v>
      </c>
      <c r="O2" s="7">
        <f>$B2 * IFERROR(VLOOKUP("LULUCF|NOx|Premature mortality", US_national_yearly!$D:$AM, 23, FALSE) / VLOOKUP("LULUCF|NOx|Premature mortality", US_national_yearly!$D:$AM, 10, FALSE), 1)</f>
        <v>4.7193071627995984E-4</v>
      </c>
      <c r="P2" s="7">
        <f>$B2 * IFERROR(VLOOKUP("LULUCF|NOx|Premature mortality", US_national_yearly!$D:$AM, 24, FALSE) / VLOOKUP("LULUCF|NOx|Premature mortality", US_national_yearly!$D:$AM, 10, FALSE), 1)</f>
        <v>4.7680355652763147E-4</v>
      </c>
      <c r="Q2" s="7">
        <f>$B2 * IFERROR(VLOOKUP("LULUCF|NOx|Premature mortality", US_national_yearly!$D:$AM, 25, FALSE) / VLOOKUP("LULUCF|NOx|Premature mortality", US_national_yearly!$D:$AM, 10, FALSE), 1)</f>
        <v>4.8167639677530315E-4</v>
      </c>
      <c r="R2" s="7">
        <f>$B2 * IFERROR(VLOOKUP("LULUCF|NOx|Premature mortality", US_national_yearly!$D:$AM, 26, FALSE) / VLOOKUP("LULUCF|NOx|Premature mortality", US_national_yearly!$D:$AM, 10, FALSE), 1)</f>
        <v>4.8654923702297478E-4</v>
      </c>
      <c r="S2" s="7">
        <f>$B2 * IFERROR(VLOOKUP("LULUCF|NOx|Premature mortality", US_national_yearly!$D:$AM, 27, FALSE) / VLOOKUP("LULUCF|NOx|Premature mortality", US_national_yearly!$D:$AM, 10, FALSE), 1)</f>
        <v>4.887639919843907E-4</v>
      </c>
      <c r="T2" s="7">
        <f>$B2 * IFERROR(VLOOKUP("LULUCF|NOx|Premature mortality", US_national_yearly!$D:$AM, 28, FALSE) / VLOOKUP("LULUCF|NOx|Premature mortality", US_national_yearly!$D:$AM, 10, FALSE), 1)</f>
        <v>4.9097874694580673E-4</v>
      </c>
      <c r="U2" s="7">
        <f>$B2 * IFERROR(VLOOKUP("LULUCF|NOx|Premature mortality", US_national_yearly!$D:$AM, 29, FALSE) / VLOOKUP("LULUCF|NOx|Premature mortality", US_national_yearly!$D:$AM, 10, FALSE), 1)</f>
        <v>4.9319350190722277E-4</v>
      </c>
      <c r="V2" s="7">
        <f>$B2 * IFERROR(VLOOKUP("LULUCF|NOx|Premature mortality", US_national_yearly!$D:$AM, 30, FALSE) / VLOOKUP("LULUCF|NOx|Premature mortality", US_national_yearly!$D:$AM, 10, FALSE), 1)</f>
        <v>4.9540825686863869E-4</v>
      </c>
      <c r="W2" s="7">
        <f>$B2 * IFERROR(VLOOKUP("LULUCF|NOx|Premature mortality", US_national_yearly!$D:$AM, 31, FALSE) / VLOOKUP("LULUCF|NOx|Premature mortality", US_national_yearly!$D:$AM, 10, FALSE), 1)</f>
        <v>4.9762301183005472E-4</v>
      </c>
      <c r="X2" s="7">
        <f>$B2 * IFERROR(VLOOKUP("LULUCF|NOx|Premature mortality", US_national_yearly!$D:$AM, 32, FALSE) / VLOOKUP("LULUCF|NOx|Premature mortality", US_national_yearly!$D:$AM, 10, FALSE), 1)</f>
        <v>4.9769972967063868E-4</v>
      </c>
      <c r="Y2" s="7">
        <f>$B2 * IFERROR(VLOOKUP("LULUCF|NOx|Premature mortality", US_national_yearly!$D:$AM, 33, FALSE) / VLOOKUP("LULUCF|NOx|Premature mortality", US_national_yearly!$D:$AM, 10, FALSE), 1)</f>
        <v>4.9777644751122264E-4</v>
      </c>
      <c r="Z2" s="7">
        <f>$B2 * IFERROR(VLOOKUP("LULUCF|NOx|Premature mortality", US_national_yearly!$D:$AM, 34, FALSE) / VLOOKUP("LULUCF|NOx|Premature mortality", US_national_yearly!$D:$AM, 10, FALSE), 1)</f>
        <v>4.978531653518065E-4</v>
      </c>
      <c r="AA2" s="7">
        <f>$B2 * IFERROR(VLOOKUP("LULUCF|NOx|Premature mortality", US_national_yearly!$D:$AM, 35, FALSE) / VLOOKUP("LULUCF|NOx|Premature mortality", US_national_yearly!$D:$AM, 10, FALSE), 1)</f>
        <v>4.9792988319239046E-4</v>
      </c>
      <c r="AB2" s="7">
        <f>$B2 * IFERROR(VLOOKUP("LULUCF|NOx|Premature mortality", US_national_yearly!$D:$AM, 36, FALSE) / VLOOKUP("LULUCF|NOx|Premature mortality", US_national_yearly!$D:$AM, 10, FALSE), 1)</f>
        <v>4.9800660103297442E-4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9.8743750248330403E-7</v>
      </c>
      <c r="C3" s="7">
        <f>$B3 * IFERROR(VLOOKUP("LULUCF|NOx|Infant mortality", US_national_yearly!$D:$AM, 11, FALSE) / VLOOKUP("LULUCF|NOx|Infant mortality", US_national_yearly!$D:$AM, 10, FALSE), 1)</f>
        <v>9.7802964412093276E-7</v>
      </c>
      <c r="D3" s="7">
        <f>$B3 * IFERROR(VLOOKUP("LULUCF|NOx|Infant mortality", US_national_yearly!$D:$AM, 12, FALSE) / VLOOKUP("LULUCF|NOx|Infant mortality", US_national_yearly!$D:$AM, 10, FALSE), 1)</f>
        <v>9.6862178575856127E-7</v>
      </c>
      <c r="E3" s="7">
        <f>$B3 * IFERROR(VLOOKUP("LULUCF|NOx|Infant mortality", US_national_yearly!$D:$AM, 13, FALSE) / VLOOKUP("LULUCF|NOx|Infant mortality", US_national_yearly!$D:$AM, 10, FALSE), 1)</f>
        <v>9.5921392739618979E-7</v>
      </c>
      <c r="F3" s="7">
        <f>$B3 * IFERROR(VLOOKUP("LULUCF|NOx|Infant mortality", US_national_yearly!$D:$AM, 14, FALSE) / VLOOKUP("LULUCF|NOx|Infant mortality", US_national_yearly!$D:$AM, 10, FALSE), 1)</f>
        <v>9.4980606903381852E-7</v>
      </c>
      <c r="G3" s="7">
        <f>$B3 * IFERROR(VLOOKUP("LULUCF|NOx|Infant mortality", US_national_yearly!$D:$AM, 15, FALSE) / VLOOKUP("LULUCF|NOx|Infant mortality", US_national_yearly!$D:$AM, 10, FALSE), 1)</f>
        <v>6.3052817098165883E-7</v>
      </c>
      <c r="H3" s="7">
        <f>$B3 * IFERROR(VLOOKUP("LULUCF|NOx|Infant mortality", US_national_yearly!$D:$AM, 16, FALSE) / VLOOKUP("LULUCF|NOx|Infant mortality", US_national_yearly!$D:$AM, 10, FALSE), 1)</f>
        <v>3.112502729294993E-7</v>
      </c>
      <c r="I3" s="7">
        <f>$B3 * IFERROR(VLOOKUP("LULUCF|NOx|Infant mortality", US_national_yearly!$D:$AM, 17, FALSE) / VLOOKUP("LULUCF|NOx|Infant mortality", US_national_yearly!$D:$AM, 10, FALSE), 1)</f>
        <v>3.0904943631691616E-7</v>
      </c>
      <c r="J3" s="7">
        <f>$B3 * IFERROR(VLOOKUP("LULUCF|NOx|Infant mortality", US_national_yearly!$D:$AM, 18, FALSE) / VLOOKUP("LULUCF|NOx|Infant mortality", US_national_yearly!$D:$AM, 10, FALSE), 1)</f>
        <v>3.0684859970433291E-7</v>
      </c>
      <c r="K3" s="7">
        <f>$B3 * IFERROR(VLOOKUP("LULUCF|NOx|Infant mortality", US_national_yearly!$D:$AM, 19, FALSE) / VLOOKUP("LULUCF|NOx|Infant mortality", US_national_yearly!$D:$AM, 10, FALSE), 1)</f>
        <v>3.0464776309174976E-7</v>
      </c>
      <c r="L3" s="7">
        <f>$B3 * IFERROR(VLOOKUP("LULUCF|NOx|Infant mortality", US_national_yearly!$D:$AM, 20, FALSE) / VLOOKUP("LULUCF|NOx|Infant mortality", US_national_yearly!$D:$AM, 10, FALSE), 1)</f>
        <v>3.0244692647916662E-7</v>
      </c>
      <c r="M3" s="7">
        <f>$B3 * IFERROR(VLOOKUP("LULUCF|NOx|Infant mortality", US_national_yearly!$D:$AM, 21, FALSE) / VLOOKUP("LULUCF|NOx|Infant mortality", US_national_yearly!$D:$AM, 10, FALSE), 1)</f>
        <v>3.0024608986658337E-7</v>
      </c>
      <c r="N3" s="7">
        <f>$B3 * IFERROR(VLOOKUP("LULUCF|NOx|Infant mortality", US_national_yearly!$D:$AM, 22, FALSE) / VLOOKUP("LULUCF|NOx|Infant mortality", US_national_yearly!$D:$AM, 10, FALSE), 1)</f>
        <v>2.9878526654559771E-7</v>
      </c>
      <c r="O3" s="7">
        <f>$B3 * IFERROR(VLOOKUP("LULUCF|NOx|Infant mortality", US_national_yearly!$D:$AM, 23, FALSE) / VLOOKUP("LULUCF|NOx|Infant mortality", US_national_yearly!$D:$AM, 10, FALSE), 1)</f>
        <v>2.97324443224612E-7</v>
      </c>
      <c r="P3" s="7">
        <f>$B3 * IFERROR(VLOOKUP("LULUCF|NOx|Infant mortality", US_national_yearly!$D:$AM, 24, FALSE) / VLOOKUP("LULUCF|NOx|Infant mortality", US_national_yearly!$D:$AM, 10, FALSE), 1)</f>
        <v>2.9586361990362634E-7</v>
      </c>
      <c r="Q3" s="7">
        <f>$B3 * IFERROR(VLOOKUP("LULUCF|NOx|Infant mortality", US_national_yearly!$D:$AM, 25, FALSE) / VLOOKUP("LULUCF|NOx|Infant mortality", US_national_yearly!$D:$AM, 10, FALSE), 1)</f>
        <v>2.9440279658264063E-7</v>
      </c>
      <c r="R3" s="7">
        <f>$B3 * IFERROR(VLOOKUP("LULUCF|NOx|Infant mortality", US_national_yearly!$D:$AM, 26, FALSE) / VLOOKUP("LULUCF|NOx|Infant mortality", US_national_yearly!$D:$AM, 10, FALSE), 1)</f>
        <v>2.9294197326165497E-7</v>
      </c>
      <c r="S3" s="7">
        <f>$B3 * IFERROR(VLOOKUP("LULUCF|NOx|Infant mortality", US_national_yearly!$D:$AM, 27, FALSE) / VLOOKUP("LULUCF|NOx|Infant mortality", US_national_yearly!$D:$AM, 10, FALSE), 1)</f>
        <v>2.9118583132411691E-7</v>
      </c>
      <c r="T3" s="7">
        <f>$B3 * IFERROR(VLOOKUP("LULUCF|NOx|Infant mortality", US_national_yearly!$D:$AM, 28, FALSE) / VLOOKUP("LULUCF|NOx|Infant mortality", US_national_yearly!$D:$AM, 10, FALSE), 1)</f>
        <v>2.894296893865789E-7</v>
      </c>
      <c r="U3" s="7">
        <f>$B3 * IFERROR(VLOOKUP("LULUCF|NOx|Infant mortality", US_national_yearly!$D:$AM, 29, FALSE) / VLOOKUP("LULUCF|NOx|Infant mortality", US_national_yearly!$D:$AM, 10, FALSE), 1)</f>
        <v>2.8767354744904084E-7</v>
      </c>
      <c r="V3" s="7">
        <f>$B3 * IFERROR(VLOOKUP("LULUCF|NOx|Infant mortality", US_national_yearly!$D:$AM, 30, FALSE) / VLOOKUP("LULUCF|NOx|Infant mortality", US_national_yearly!$D:$AM, 10, FALSE), 1)</f>
        <v>2.8591740551150278E-7</v>
      </c>
      <c r="W3" s="7">
        <f>$B3 * IFERROR(VLOOKUP("LULUCF|NOx|Infant mortality", US_national_yearly!$D:$AM, 31, FALSE) / VLOOKUP("LULUCF|NOx|Infant mortality", US_national_yearly!$D:$AM, 10, FALSE), 1)</f>
        <v>2.8416126357396477E-7</v>
      </c>
      <c r="X3" s="7">
        <f>$B3 * IFERROR(VLOOKUP("LULUCF|NOx|Infant mortality", US_national_yearly!$D:$AM, 32, FALSE) / VLOOKUP("LULUCF|NOx|Infant mortality", US_national_yearly!$D:$AM, 10, FALSE), 1)</f>
        <v>2.82301424338554E-7</v>
      </c>
      <c r="Y3" s="7">
        <f>$B3 * IFERROR(VLOOKUP("LULUCF|NOx|Infant mortality", US_national_yearly!$D:$AM, 33, FALSE) / VLOOKUP("LULUCF|NOx|Infant mortality", US_national_yearly!$D:$AM, 10, FALSE), 1)</f>
        <v>2.8044158510314322E-7</v>
      </c>
      <c r="Z3" s="7">
        <f>$B3 * IFERROR(VLOOKUP("LULUCF|NOx|Infant mortality", US_national_yearly!$D:$AM, 34, FALSE) / VLOOKUP("LULUCF|NOx|Infant mortality", US_national_yearly!$D:$AM, 10, FALSE), 1)</f>
        <v>2.785817458677324E-7</v>
      </c>
      <c r="AA3" s="7">
        <f>$B3 * IFERROR(VLOOKUP("LULUCF|NOx|Infant mortality", US_national_yearly!$D:$AM, 35, FALSE) / VLOOKUP("LULUCF|NOx|Infant mortality", US_national_yearly!$D:$AM, 10, FALSE), 1)</f>
        <v>2.7672190663232157E-7</v>
      </c>
      <c r="AB3" s="7">
        <f>$B3 * IFERROR(VLOOKUP("LULUCF|NOx|Infant mortality", US_national_yearly!$D:$AM, 36, FALSE) / VLOOKUP("LULUCF|NOx|Infant mortality", US_national_yearly!$D:$AM, 10, FALSE), 1)</f>
        <v>2.7486206739691079E-7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1.1687446001744128E-3</v>
      </c>
      <c r="C6" s="7">
        <f>$B6 * IFERROR(VLOOKUP("LULUCF|NOx|Asthma symptoms cough", US_national_yearly!$D:$AM, 11, FALSE) / VLOOKUP("LULUCF|NOx|Asthma symptoms cough", US_national_yearly!$D:$AM, 10, FALSE), 1)</f>
        <v>1.1847232496805791E-3</v>
      </c>
      <c r="D6" s="7">
        <f>$B6 * IFERROR(VLOOKUP("LULUCF|NOx|Asthma symptoms cough", US_national_yearly!$D:$AM, 12, FALSE) / VLOOKUP("LULUCF|NOx|Asthma symptoms cough", US_national_yearly!$D:$AM, 10, FALSE), 1)</f>
        <v>1.2007018991867454E-3</v>
      </c>
      <c r="E6" s="7">
        <f>$B6 * IFERROR(VLOOKUP("LULUCF|NOx|Asthma symptoms cough", US_national_yearly!$D:$AM, 13, FALSE) / VLOOKUP("LULUCF|NOx|Asthma symptoms cough", US_national_yearly!$D:$AM, 10, FALSE), 1)</f>
        <v>1.2166805486929118E-3</v>
      </c>
      <c r="F6" s="7">
        <f>$B6 * IFERROR(VLOOKUP("LULUCF|NOx|Asthma symptoms cough", US_national_yearly!$D:$AM, 14, FALSE) / VLOOKUP("LULUCF|NOx|Asthma symptoms cough", US_national_yearly!$D:$AM, 10, FALSE), 1)</f>
        <v>1.2326591981990779E-3</v>
      </c>
      <c r="G6" s="7">
        <f>$B6 * IFERROR(VLOOKUP("LULUCF|NOx|Asthma symptoms cough", US_national_yearly!$D:$AM, 15, FALSE) / VLOOKUP("LULUCF|NOx|Asthma symptoms cough", US_national_yearly!$D:$AM, 10, FALSE), 1)</f>
        <v>1.2454159169643347E-3</v>
      </c>
      <c r="H6" s="7">
        <f>$B6 * IFERROR(VLOOKUP("LULUCF|NOx|Asthma symptoms cough", US_national_yearly!$D:$AM, 16, FALSE) / VLOOKUP("LULUCF|NOx|Asthma symptoms cough", US_national_yearly!$D:$AM, 10, FALSE), 1)</f>
        <v>1.2581726357295917E-3</v>
      </c>
      <c r="I6" s="7">
        <f>$B6 * IFERROR(VLOOKUP("LULUCF|NOx|Asthma symptoms cough", US_national_yearly!$D:$AM, 17, FALSE) / VLOOKUP("LULUCF|NOx|Asthma symptoms cough", US_national_yearly!$D:$AM, 10, FALSE), 1)</f>
        <v>1.2625633159617142E-3</v>
      </c>
      <c r="J6" s="7">
        <f>$B6 * IFERROR(VLOOKUP("LULUCF|NOx|Asthma symptoms cough", US_national_yearly!$D:$AM, 18, FALSE) / VLOOKUP("LULUCF|NOx|Asthma symptoms cough", US_national_yearly!$D:$AM, 10, FALSE), 1)</f>
        <v>1.2669539961938368E-3</v>
      </c>
      <c r="K6" s="7">
        <f>$B6 * IFERROR(VLOOKUP("LULUCF|NOx|Asthma symptoms cough", US_national_yearly!$D:$AM, 19, FALSE) / VLOOKUP("LULUCF|NOx|Asthma symptoms cough", US_national_yearly!$D:$AM, 10, FALSE), 1)</f>
        <v>1.2713446764259591E-3</v>
      </c>
      <c r="L6" s="7">
        <f>$B6 * IFERROR(VLOOKUP("LULUCF|NOx|Asthma symptoms cough", US_national_yearly!$D:$AM, 20, FALSE) / VLOOKUP("LULUCF|NOx|Asthma symptoms cough", US_national_yearly!$D:$AM, 10, FALSE), 1)</f>
        <v>1.2757353566580814E-3</v>
      </c>
      <c r="M6" s="7">
        <f>$B6 * IFERROR(VLOOKUP("LULUCF|NOx|Asthma symptoms cough", US_national_yearly!$D:$AM, 21, FALSE) / VLOOKUP("LULUCF|NOx|Asthma symptoms cough", US_national_yearly!$D:$AM, 10, FALSE), 1)</f>
        <v>1.2801260368902041E-3</v>
      </c>
      <c r="N6" s="7">
        <f>$B6 * IFERROR(VLOOKUP("LULUCF|NOx|Asthma symptoms cough", US_national_yearly!$D:$AM, 22, FALSE) / VLOOKUP("LULUCF|NOx|Asthma symptoms cough", US_national_yearly!$D:$AM, 10, FALSE), 1)</f>
        <v>1.2852173575813187E-3</v>
      </c>
      <c r="O6" s="7">
        <f>$B6 * IFERROR(VLOOKUP("LULUCF|NOx|Asthma symptoms cough", US_national_yearly!$D:$AM, 23, FALSE) / VLOOKUP("LULUCF|NOx|Asthma symptoms cough", US_national_yearly!$D:$AM, 10, FALSE), 1)</f>
        <v>1.2903086782724332E-3</v>
      </c>
      <c r="P6" s="7">
        <f>$B6 * IFERROR(VLOOKUP("LULUCF|NOx|Asthma symptoms cough", US_national_yearly!$D:$AM, 24, FALSE) / VLOOKUP("LULUCF|NOx|Asthma symptoms cough", US_national_yearly!$D:$AM, 10, FALSE), 1)</f>
        <v>1.295399998963548E-3</v>
      </c>
      <c r="Q6" s="7">
        <f>$B6 * IFERROR(VLOOKUP("LULUCF|NOx|Asthma symptoms cough", US_national_yearly!$D:$AM, 25, FALSE) / VLOOKUP("LULUCF|NOx|Asthma symptoms cough", US_national_yearly!$D:$AM, 10, FALSE), 1)</f>
        <v>1.3004913196546627E-3</v>
      </c>
      <c r="R6" s="7">
        <f>$B6 * IFERROR(VLOOKUP("LULUCF|NOx|Asthma symptoms cough", US_national_yearly!$D:$AM, 26, FALSE) / VLOOKUP("LULUCF|NOx|Asthma symptoms cough", US_national_yearly!$D:$AM, 10, FALSE), 1)</f>
        <v>1.3055826403457773E-3</v>
      </c>
      <c r="S6" s="7">
        <f>$B6 * IFERROR(VLOOKUP("LULUCF|NOx|Asthma symptoms cough", US_national_yearly!$D:$AM, 27, FALSE) / VLOOKUP("LULUCF|NOx|Asthma symptoms cough", US_national_yearly!$D:$AM, 10, FALSE), 1)</f>
        <v>1.3122335267419976E-3</v>
      </c>
      <c r="T6" s="7">
        <f>$B6 * IFERROR(VLOOKUP("LULUCF|NOx|Asthma symptoms cough", US_national_yearly!$D:$AM, 28, FALSE) / VLOOKUP("LULUCF|NOx|Asthma symptoms cough", US_national_yearly!$D:$AM, 10, FALSE), 1)</f>
        <v>1.3188844131382172E-3</v>
      </c>
      <c r="U6" s="7">
        <f>$B6 * IFERROR(VLOOKUP("LULUCF|NOx|Asthma symptoms cough", US_national_yearly!$D:$AM, 29, FALSE) / VLOOKUP("LULUCF|NOx|Asthma symptoms cough", US_national_yearly!$D:$AM, 10, FALSE), 1)</f>
        <v>1.3255352995344368E-3</v>
      </c>
      <c r="V6" s="7">
        <f>$B6 * IFERROR(VLOOKUP("LULUCF|NOx|Asthma symptoms cough", US_national_yearly!$D:$AM, 30, FALSE) / VLOOKUP("LULUCF|NOx|Asthma symptoms cough", US_national_yearly!$D:$AM, 10, FALSE), 1)</f>
        <v>1.3321861859306569E-3</v>
      </c>
      <c r="W6" s="7">
        <f>$B6 * IFERROR(VLOOKUP("LULUCF|NOx|Asthma symptoms cough", US_national_yearly!$D:$AM, 31, FALSE) / VLOOKUP("LULUCF|NOx|Asthma symptoms cough", US_national_yearly!$D:$AM, 10, FALSE), 1)</f>
        <v>1.3388370723268767E-3</v>
      </c>
      <c r="X6" s="7">
        <f>$B6 * IFERROR(VLOOKUP("LULUCF|NOx|Asthma symptoms cough", US_national_yearly!$D:$AM, 32, FALSE) / VLOOKUP("LULUCF|NOx|Asthma symptoms cough", US_national_yearly!$D:$AM, 10, FALSE), 1)</f>
        <v>1.3450167014252194E-3</v>
      </c>
      <c r="Y6" s="7">
        <f>$B6 * IFERROR(VLOOKUP("LULUCF|NOx|Asthma symptoms cough", US_national_yearly!$D:$AM, 33, FALSE) / VLOOKUP("LULUCF|NOx|Asthma symptoms cough", US_national_yearly!$D:$AM, 10, FALSE), 1)</f>
        <v>1.3511963305235623E-3</v>
      </c>
      <c r="Z6" s="7">
        <f>$B6 * IFERROR(VLOOKUP("LULUCF|NOx|Asthma symptoms cough", US_national_yearly!$D:$AM, 34, FALSE) / VLOOKUP("LULUCF|NOx|Asthma symptoms cough", US_national_yearly!$D:$AM, 10, FALSE), 1)</f>
        <v>1.357375959621905E-3</v>
      </c>
      <c r="AA6" s="7">
        <f>$B6 * IFERROR(VLOOKUP("LULUCF|NOx|Asthma symptoms cough", US_national_yearly!$D:$AM, 35, FALSE) / VLOOKUP("LULUCF|NOx|Asthma symptoms cough", US_national_yearly!$D:$AM, 10, FALSE), 1)</f>
        <v>1.3635555887202477E-3</v>
      </c>
      <c r="AB6" s="7">
        <f>$B6 * IFERROR(VLOOKUP("LULUCF|NOx|Asthma symptoms cough", US_national_yearly!$D:$AM, 36, FALSE) / VLOOKUP("LULUCF|NOx|Asthma symptoms cough", US_national_yearly!$D:$AM, 10, FALSE), 1)</f>
        <v>1.3697352178185908E-3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1.5738737993722448E-3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1.5953912273746335E-3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1.616908655377022E-3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1.6384260833794109E-3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1.6599435113817996E-3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1.6771221707693614E-3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1.6943008301569232E-3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1.7002134791068413E-3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1.7061261280567595E-3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1.7120387770066777E-3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1.7179514259565958E-3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1.723864074906514E-3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1.7307202316859767E-3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1.7375763884654391E-3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1.7444325452449015E-3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1.7512887020243639E-3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1.7581448588038266E-3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1.7671011832526571E-3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1.776057507701488E-3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1.7850138321503185E-3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1.7939701565991488E-3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1.8029264810479793E-3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1.8112481933498434E-3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1.8195699056517073E-3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1.8278916179535719E-3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1.8362133302554358E-3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1.8445350425572999E-3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2.404649505445593E-3</v>
      </c>
      <c r="C8" s="7">
        <f>$B8 * IFERROR(VLOOKUP("LULUCF|NOx|Asthma symptoms wheeze", US_national_yearly!$D:$AM, 11, FALSE) / VLOOKUP("LULUCF|NOx|Asthma symptoms wheeze", US_national_yearly!$D:$AM, 10, FALSE), 1)</f>
        <v>2.4375249956766843E-3</v>
      </c>
      <c r="D8" s="7">
        <f>$B8 * IFERROR(VLOOKUP("LULUCF|NOx|Asthma symptoms wheeze", US_national_yearly!$D:$AM, 12, FALSE) / VLOOKUP("LULUCF|NOx|Asthma symptoms wheeze", US_national_yearly!$D:$AM, 10, FALSE), 1)</f>
        <v>2.4704004859077769E-3</v>
      </c>
      <c r="E8" s="7">
        <f>$B8 * IFERROR(VLOOKUP("LULUCF|NOx|Asthma symptoms wheeze", US_national_yearly!$D:$AM, 13, FALSE) / VLOOKUP("LULUCF|NOx|Asthma symptoms wheeze", US_national_yearly!$D:$AM, 10, FALSE), 1)</f>
        <v>2.5032759761388682E-3</v>
      </c>
      <c r="F8" s="7">
        <f>$B8 * IFERROR(VLOOKUP("LULUCF|NOx|Asthma symptoms wheeze", US_national_yearly!$D:$AM, 14, FALSE) / VLOOKUP("LULUCF|NOx|Asthma symptoms wheeze", US_national_yearly!$D:$AM, 10, FALSE), 1)</f>
        <v>2.5361514663699595E-3</v>
      </c>
      <c r="G8" s="7">
        <f>$B8 * IFERROR(VLOOKUP("LULUCF|NOx|Asthma symptoms wheeze", US_national_yearly!$D:$AM, 15, FALSE) / VLOOKUP("LULUCF|NOx|Asthma symptoms wheeze", US_national_yearly!$D:$AM, 10, FALSE), 1)</f>
        <v>2.5623979512996507E-3</v>
      </c>
      <c r="H8" s="7">
        <f>$B8 * IFERROR(VLOOKUP("LULUCF|NOx|Asthma symptoms wheeze", US_national_yearly!$D:$AM, 16, FALSE) / VLOOKUP("LULUCF|NOx|Asthma symptoms wheeze", US_national_yearly!$D:$AM, 10, FALSE), 1)</f>
        <v>2.5886444362293423E-3</v>
      </c>
      <c r="I8" s="7">
        <f>$B8 * IFERROR(VLOOKUP("LULUCF|NOx|Asthma symptoms wheeze", US_national_yearly!$D:$AM, 17, FALSE) / VLOOKUP("LULUCF|NOx|Asthma symptoms wheeze", US_national_yearly!$D:$AM, 10, FALSE), 1)</f>
        <v>2.5976781011622847E-3</v>
      </c>
      <c r="J8" s="7">
        <f>$B8 * IFERROR(VLOOKUP("LULUCF|NOx|Asthma symptoms wheeze", US_national_yearly!$D:$AM, 18, FALSE) / VLOOKUP("LULUCF|NOx|Asthma symptoms wheeze", US_national_yearly!$D:$AM, 10, FALSE), 1)</f>
        <v>2.6067117660952275E-3</v>
      </c>
      <c r="K8" s="7">
        <f>$B8 * IFERROR(VLOOKUP("LULUCF|NOx|Asthma symptoms wheeze", US_national_yearly!$D:$AM, 19, FALSE) / VLOOKUP("LULUCF|NOx|Asthma symptoms wheeze", US_national_yearly!$D:$AM, 10, FALSE), 1)</f>
        <v>2.6157454310281694E-3</v>
      </c>
      <c r="L8" s="7">
        <f>$B8 * IFERROR(VLOOKUP("LULUCF|NOx|Asthma symptoms wheeze", US_national_yearly!$D:$AM, 20, FALSE) / VLOOKUP("LULUCF|NOx|Asthma symptoms wheeze", US_national_yearly!$D:$AM, 10, FALSE), 1)</f>
        <v>2.6247790959611121E-3</v>
      </c>
      <c r="M8" s="7">
        <f>$B8 * IFERROR(VLOOKUP("LULUCF|NOx|Asthma symptoms wheeze", US_national_yearly!$D:$AM, 21, FALSE) / VLOOKUP("LULUCF|NOx|Asthma symptoms wheeze", US_national_yearly!$D:$AM, 10, FALSE), 1)</f>
        <v>2.6338127608940545E-3</v>
      </c>
      <c r="N8" s="7">
        <f>$B8 * IFERROR(VLOOKUP("LULUCF|NOx|Asthma symptoms wheeze", US_national_yearly!$D:$AM, 22, FALSE) / VLOOKUP("LULUCF|NOx|Asthma symptoms wheeze", US_national_yearly!$D:$AM, 10, FALSE), 1)</f>
        <v>2.6442879681003429E-3</v>
      </c>
      <c r="O8" s="7">
        <f>$B8 * IFERROR(VLOOKUP("LULUCF|NOx|Asthma symptoms wheeze", US_national_yearly!$D:$AM, 23, FALSE) / VLOOKUP("LULUCF|NOx|Asthma symptoms wheeze", US_national_yearly!$D:$AM, 10, FALSE), 1)</f>
        <v>2.6547631753066317E-3</v>
      </c>
      <c r="P8" s="7">
        <f>$B8 * IFERROR(VLOOKUP("LULUCF|NOx|Asthma symptoms wheeze", US_national_yearly!$D:$AM, 24, FALSE) / VLOOKUP("LULUCF|NOx|Asthma symptoms wheeze", US_national_yearly!$D:$AM, 10, FALSE), 1)</f>
        <v>2.6652383825129201E-3</v>
      </c>
      <c r="Q8" s="7">
        <f>$B8 * IFERROR(VLOOKUP("LULUCF|NOx|Asthma symptoms wheeze", US_national_yearly!$D:$AM, 25, FALSE) / VLOOKUP("LULUCF|NOx|Asthma symptoms wheeze", US_national_yearly!$D:$AM, 10, FALSE), 1)</f>
        <v>2.6757135897192094E-3</v>
      </c>
      <c r="R8" s="7">
        <f>$B8 * IFERROR(VLOOKUP("LULUCF|NOx|Asthma symptoms wheeze", US_national_yearly!$D:$AM, 26, FALSE) / VLOOKUP("LULUCF|NOx|Asthma symptoms wheeze", US_national_yearly!$D:$AM, 10, FALSE), 1)</f>
        <v>2.6861887969254978E-3</v>
      </c>
      <c r="S8" s="7">
        <f>$B8 * IFERROR(VLOOKUP("LULUCF|NOx|Asthma symptoms wheeze", US_national_yearly!$D:$AM, 27, FALSE) / VLOOKUP("LULUCF|NOx|Asthma symptoms wheeze", US_national_yearly!$D:$AM, 10, FALSE), 1)</f>
        <v>2.6998727538575774E-3</v>
      </c>
      <c r="T8" s="7">
        <f>$B8 * IFERROR(VLOOKUP("LULUCF|NOx|Asthma symptoms wheeze", US_national_yearly!$D:$AM, 28, FALSE) / VLOOKUP("LULUCF|NOx|Asthma symptoms wheeze", US_national_yearly!$D:$AM, 10, FALSE), 1)</f>
        <v>2.7135567107896574E-3</v>
      </c>
      <c r="U8" s="7">
        <f>$B8 * IFERROR(VLOOKUP("LULUCF|NOx|Asthma symptoms wheeze", US_national_yearly!$D:$AM, 29, FALSE) / VLOOKUP("LULUCF|NOx|Asthma symptoms wheeze", US_national_yearly!$D:$AM, 10, FALSE), 1)</f>
        <v>2.7272406677217374E-3</v>
      </c>
      <c r="V8" s="7">
        <f>$B8 * IFERROR(VLOOKUP("LULUCF|NOx|Asthma symptoms wheeze", US_national_yearly!$D:$AM, 30, FALSE) / VLOOKUP("LULUCF|NOx|Asthma symptoms wheeze", US_national_yearly!$D:$AM, 10, FALSE), 1)</f>
        <v>2.7409246246538174E-3</v>
      </c>
      <c r="W8" s="7">
        <f>$B8 * IFERROR(VLOOKUP("LULUCF|NOx|Asthma symptoms wheeze", US_national_yearly!$D:$AM, 31, FALSE) / VLOOKUP("LULUCF|NOx|Asthma symptoms wheeze", US_national_yearly!$D:$AM, 10, FALSE), 1)</f>
        <v>2.754608581585897E-3</v>
      </c>
      <c r="X8" s="7">
        <f>$B8 * IFERROR(VLOOKUP("LULUCF|NOx|Asthma symptoms wheeze", US_national_yearly!$D:$AM, 32, FALSE) / VLOOKUP("LULUCF|NOx|Asthma symptoms wheeze", US_national_yearly!$D:$AM, 10, FALSE), 1)</f>
        <v>2.7673229437583258E-3</v>
      </c>
      <c r="Y8" s="7">
        <f>$B8 * IFERROR(VLOOKUP("LULUCF|NOx|Asthma symptoms wheeze", US_national_yearly!$D:$AM, 33, FALSE) / VLOOKUP("LULUCF|NOx|Asthma symptoms wheeze", US_national_yearly!$D:$AM, 10, FALSE), 1)</f>
        <v>2.7800373059307542E-3</v>
      </c>
      <c r="Z8" s="7">
        <f>$B8 * IFERROR(VLOOKUP("LULUCF|NOx|Asthma symptoms wheeze", US_national_yearly!$D:$AM, 34, FALSE) / VLOOKUP("LULUCF|NOx|Asthma symptoms wheeze", US_national_yearly!$D:$AM, 10, FALSE), 1)</f>
        <v>2.792751668103183E-3</v>
      </c>
      <c r="AA8" s="7">
        <f>$B8 * IFERROR(VLOOKUP("LULUCF|NOx|Asthma symptoms wheeze", US_national_yearly!$D:$AM, 35, FALSE) / VLOOKUP("LULUCF|NOx|Asthma symptoms wheeze", US_national_yearly!$D:$AM, 10, FALSE), 1)</f>
        <v>2.805466030275611E-3</v>
      </c>
      <c r="AB8" s="7">
        <f>$B8 * IFERROR(VLOOKUP("LULUCF|NOx|Asthma symptoms wheeze", US_national_yearly!$D:$AM, 36, FALSE) / VLOOKUP("LULUCF|NOx|Asthma symptoms wheeze", US_national_yearly!$D:$AM, 10, FALSE), 1)</f>
        <v>2.8181803924480398E-3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2.5465833119077999E-5</v>
      </c>
      <c r="C12" s="7">
        <f>$B12 * IFERROR(VLOOKUP("LULUCF|NOx|Respiratory hospital admissions", US_national_yearly!$D:$AM, 11, FALSE) / VLOOKUP("LULUCF|NOx|Respiratory hospital admissions", US_national_yearly!$D:$AM, 10, FALSE), 1)</f>
        <v>2.6101069787605571E-5</v>
      </c>
      <c r="D12" s="7">
        <f>$B12 * IFERROR(VLOOKUP("LULUCF|NOx|Respiratory hospital admissions", US_national_yearly!$D:$AM, 12, FALSE) / VLOOKUP("LULUCF|NOx|Respiratory hospital admissions", US_national_yearly!$D:$AM, 10, FALSE), 1)</f>
        <v>2.6736306456133151E-5</v>
      </c>
      <c r="E12" s="7">
        <f>$B12 * IFERROR(VLOOKUP("LULUCF|NOx|Respiratory hospital admissions", US_national_yearly!$D:$AM, 13, FALSE) / VLOOKUP("LULUCF|NOx|Respiratory hospital admissions", US_national_yearly!$D:$AM, 10, FALSE), 1)</f>
        <v>2.737154312466073E-5</v>
      </c>
      <c r="F12" s="7">
        <f>$B12 * IFERROR(VLOOKUP("LULUCF|NOx|Respiratory hospital admissions", US_national_yearly!$D:$AM, 14, FALSE) / VLOOKUP("LULUCF|NOx|Respiratory hospital admissions", US_national_yearly!$D:$AM, 10, FALSE), 1)</f>
        <v>2.8006779793188306E-5</v>
      </c>
      <c r="G12" s="7">
        <f>$B12 * IFERROR(VLOOKUP("LULUCF|NOx|Respiratory hospital admissions", US_national_yearly!$D:$AM, 15, FALSE) / VLOOKUP("LULUCF|NOx|Respiratory hospital admissions", US_national_yearly!$D:$AM, 10, FALSE), 1)</f>
        <v>2.861408766918322E-5</v>
      </c>
      <c r="H12" s="7">
        <f>$B12 * IFERROR(VLOOKUP("LULUCF|NOx|Respiratory hospital admissions", US_national_yearly!$D:$AM, 16, FALSE) / VLOOKUP("LULUCF|NOx|Respiratory hospital admissions", US_national_yearly!$D:$AM, 10, FALSE), 1)</f>
        <v>2.9221395545178131E-5</v>
      </c>
      <c r="I12" s="7">
        <f>$B12 * IFERROR(VLOOKUP("LULUCF|NOx|Respiratory hospital admissions", US_national_yearly!$D:$AM, 17, FALSE) / VLOOKUP("LULUCF|NOx|Respiratory hospital admissions", US_national_yearly!$D:$AM, 10, FALSE), 1)</f>
        <v>2.9737012416884249E-5</v>
      </c>
      <c r="J12" s="7">
        <f>$B12 * IFERROR(VLOOKUP("LULUCF|NOx|Respiratory hospital admissions", US_national_yearly!$D:$AM, 18, FALSE) / VLOOKUP("LULUCF|NOx|Respiratory hospital admissions", US_national_yearly!$D:$AM, 10, FALSE), 1)</f>
        <v>3.0252629288590364E-5</v>
      </c>
      <c r="K12" s="7">
        <f>$B12 * IFERROR(VLOOKUP("LULUCF|NOx|Respiratory hospital admissions", US_national_yearly!$D:$AM, 19, FALSE) / VLOOKUP("LULUCF|NOx|Respiratory hospital admissions", US_national_yearly!$D:$AM, 10, FALSE), 1)</f>
        <v>3.0768246160296486E-5</v>
      </c>
      <c r="L12" s="7">
        <f>$B12 * IFERROR(VLOOKUP("LULUCF|NOx|Respiratory hospital admissions", US_national_yearly!$D:$AM, 20, FALSE) / VLOOKUP("LULUCF|NOx|Respiratory hospital admissions", US_national_yearly!$D:$AM, 10, FALSE), 1)</f>
        <v>3.1283863032002605E-5</v>
      </c>
      <c r="M12" s="7">
        <f>$B12 * IFERROR(VLOOKUP("LULUCF|NOx|Respiratory hospital admissions", US_national_yearly!$D:$AM, 21, FALSE) / VLOOKUP("LULUCF|NOx|Respiratory hospital admissions", US_national_yearly!$D:$AM, 10, FALSE), 1)</f>
        <v>3.1799479903708723E-5</v>
      </c>
      <c r="N12" s="7">
        <f>$B12 * IFERROR(VLOOKUP("LULUCF|NOx|Respiratory hospital admissions", US_national_yearly!$D:$AM, 22, FALSE) / VLOOKUP("LULUCF|NOx|Respiratory hospital admissions", US_national_yearly!$D:$AM, 10, FALSE), 1)</f>
        <v>3.2144179065898837E-5</v>
      </c>
      <c r="O12" s="7">
        <f>$B12 * IFERROR(VLOOKUP("LULUCF|NOx|Respiratory hospital admissions", US_national_yearly!$D:$AM, 23, FALSE) / VLOOKUP("LULUCF|NOx|Respiratory hospital admissions", US_national_yearly!$D:$AM, 10, FALSE), 1)</f>
        <v>3.248887822808895E-5</v>
      </c>
      <c r="P12" s="7">
        <f>$B12 * IFERROR(VLOOKUP("LULUCF|NOx|Respiratory hospital admissions", US_national_yearly!$D:$AM, 24, FALSE) / VLOOKUP("LULUCF|NOx|Respiratory hospital admissions", US_national_yearly!$D:$AM, 10, FALSE), 1)</f>
        <v>3.2833577390279071E-5</v>
      </c>
      <c r="Q12" s="7">
        <f>$B12 * IFERROR(VLOOKUP("LULUCF|NOx|Respiratory hospital admissions", US_national_yearly!$D:$AM, 25, FALSE) / VLOOKUP("LULUCF|NOx|Respiratory hospital admissions", US_national_yearly!$D:$AM, 10, FALSE), 1)</f>
        <v>3.3178276552469184E-5</v>
      </c>
      <c r="R12" s="7">
        <f>$B12 * IFERROR(VLOOKUP("LULUCF|NOx|Respiratory hospital admissions", US_national_yearly!$D:$AM, 26, FALSE) / VLOOKUP("LULUCF|NOx|Respiratory hospital admissions", US_national_yearly!$D:$AM, 10, FALSE), 1)</f>
        <v>3.3522975714659298E-5</v>
      </c>
      <c r="S12" s="7">
        <f>$B12 * IFERROR(VLOOKUP("LULUCF|NOx|Respiratory hospital admissions", US_national_yearly!$D:$AM, 27, FALSE) / VLOOKUP("LULUCF|NOx|Respiratory hospital admissions", US_national_yearly!$D:$AM, 10, FALSE), 1)</f>
        <v>3.3707656185495386E-5</v>
      </c>
      <c r="T12" s="7">
        <f>$B12 * IFERROR(VLOOKUP("LULUCF|NOx|Respiratory hospital admissions", US_national_yearly!$D:$AM, 28, FALSE) / VLOOKUP("LULUCF|NOx|Respiratory hospital admissions", US_national_yearly!$D:$AM, 10, FALSE), 1)</f>
        <v>3.3892336656331468E-5</v>
      </c>
      <c r="U12" s="7">
        <f>$B12 * IFERROR(VLOOKUP("LULUCF|NOx|Respiratory hospital admissions", US_national_yearly!$D:$AM, 29, FALSE) / VLOOKUP("LULUCF|NOx|Respiratory hospital admissions", US_national_yearly!$D:$AM, 10, FALSE), 1)</f>
        <v>3.4077017127167549E-5</v>
      </c>
      <c r="V12" s="7">
        <f>$B12 * IFERROR(VLOOKUP("LULUCF|NOx|Respiratory hospital admissions", US_national_yearly!$D:$AM, 30, FALSE) / VLOOKUP("LULUCF|NOx|Respiratory hospital admissions", US_national_yearly!$D:$AM, 10, FALSE), 1)</f>
        <v>3.4261697598003624E-5</v>
      </c>
      <c r="W12" s="7">
        <f>$B12 * IFERROR(VLOOKUP("LULUCF|NOx|Respiratory hospital admissions", US_national_yearly!$D:$AM, 31, FALSE) / VLOOKUP("LULUCF|NOx|Respiratory hospital admissions", US_national_yearly!$D:$AM, 10, FALSE), 1)</f>
        <v>3.4446378068839712E-5</v>
      </c>
      <c r="X12" s="7">
        <f>$B12 * IFERROR(VLOOKUP("LULUCF|NOx|Respiratory hospital admissions", US_national_yearly!$D:$AM, 32, FALSE) / VLOOKUP("LULUCF|NOx|Respiratory hospital admissions", US_national_yearly!$D:$AM, 10, FALSE), 1)</f>
        <v>3.4572583177618555E-5</v>
      </c>
      <c r="Y12" s="7">
        <f>$B12 * IFERROR(VLOOKUP("LULUCF|NOx|Respiratory hospital admissions", US_national_yearly!$D:$AM, 33, FALSE) / VLOOKUP("LULUCF|NOx|Respiratory hospital admissions", US_national_yearly!$D:$AM, 10, FALSE), 1)</f>
        <v>3.4698788286397412E-5</v>
      </c>
      <c r="Z12" s="7">
        <f>$B12 * IFERROR(VLOOKUP("LULUCF|NOx|Respiratory hospital admissions", US_national_yearly!$D:$AM, 34, FALSE) / VLOOKUP("LULUCF|NOx|Respiratory hospital admissions", US_national_yearly!$D:$AM, 10, FALSE), 1)</f>
        <v>3.4824993395176263E-5</v>
      </c>
      <c r="AA12" s="7">
        <f>$B12 * IFERROR(VLOOKUP("LULUCF|NOx|Respiratory hospital admissions", US_national_yearly!$D:$AM, 35, FALSE) / VLOOKUP("LULUCF|NOx|Respiratory hospital admissions", US_national_yearly!$D:$AM, 10, FALSE), 1)</f>
        <v>3.4951198503955113E-5</v>
      </c>
      <c r="AB12" s="7">
        <f>$B12 * IFERROR(VLOOKUP("LULUCF|NOx|Respiratory hospital admissions", US_national_yearly!$D:$AM, 36, FALSE) / VLOOKUP("LULUCF|NOx|Respiratory hospital admissions", US_national_yearly!$D:$AM, 10, FALSE), 1)</f>
        <v>3.5077403612733956E-5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1.7850008910382754E-4</v>
      </c>
      <c r="C13" s="7">
        <f>$B13 * IFERROR(VLOOKUP("LULUCF|NOx|Non-fatal heart attacks", US_national_yearly!$D:$AM, 11, FALSE) / VLOOKUP("LULUCF|NOx|Non-fatal heart attacks", US_national_yearly!$D:$AM, 10, FALSE), 1)</f>
        <v>1.8360324938269335E-4</v>
      </c>
      <c r="D13" s="7">
        <f>$B13 * IFERROR(VLOOKUP("LULUCF|NOx|Non-fatal heart attacks", US_national_yearly!$D:$AM, 12, FALSE) / VLOOKUP("LULUCF|NOx|Non-fatal heart attacks", US_national_yearly!$D:$AM, 10, FALSE), 1)</f>
        <v>1.887064096615592E-4</v>
      </c>
      <c r="E13" s="7">
        <f>$B13 * IFERROR(VLOOKUP("LULUCF|NOx|Non-fatal heart attacks", US_national_yearly!$D:$AM, 13, FALSE) / VLOOKUP("LULUCF|NOx|Non-fatal heart attacks", US_national_yearly!$D:$AM, 10, FALSE), 1)</f>
        <v>1.9380956994042499E-4</v>
      </c>
      <c r="F13" s="7">
        <f>$B13 * IFERROR(VLOOKUP("LULUCF|NOx|Non-fatal heart attacks", US_national_yearly!$D:$AM, 14, FALSE) / VLOOKUP("LULUCF|NOx|Non-fatal heart attacks", US_national_yearly!$D:$AM, 10, FALSE), 1)</f>
        <v>1.9891273021929081E-4</v>
      </c>
      <c r="G13" s="7">
        <f>$B13 * IFERROR(VLOOKUP("LULUCF|NOx|Non-fatal heart attacks", US_national_yearly!$D:$AM, 15, FALSE) / VLOOKUP("LULUCF|NOx|Non-fatal heart attacks", US_national_yearly!$D:$AM, 10, FALSE), 1)</f>
        <v>2.0368162289375246E-4</v>
      </c>
      <c r="H13" s="7">
        <f>$B13 * IFERROR(VLOOKUP("LULUCF|NOx|Non-fatal heart attacks", US_national_yearly!$D:$AM, 16, FALSE) / VLOOKUP("LULUCF|NOx|Non-fatal heart attacks", US_national_yearly!$D:$AM, 10, FALSE), 1)</f>
        <v>2.0845051556821412E-4</v>
      </c>
      <c r="I13" s="7">
        <f>$B13 * IFERROR(VLOOKUP("LULUCF|NOx|Non-fatal heart attacks", US_national_yearly!$D:$AM, 17, FALSE) / VLOOKUP("LULUCF|NOx|Non-fatal heart attacks", US_national_yearly!$D:$AM, 10, FALSE), 1)</f>
        <v>2.1221024230554409E-4</v>
      </c>
      <c r="J13" s="7">
        <f>$B13 * IFERROR(VLOOKUP("LULUCF|NOx|Non-fatal heart attacks", US_national_yearly!$D:$AM, 18, FALSE) / VLOOKUP("LULUCF|NOx|Non-fatal heart attacks", US_national_yearly!$D:$AM, 10, FALSE), 1)</f>
        <v>2.1596996904287409E-4</v>
      </c>
      <c r="K13" s="7">
        <f>$B13 * IFERROR(VLOOKUP("LULUCF|NOx|Non-fatal heart attacks", US_national_yearly!$D:$AM, 19, FALSE) / VLOOKUP("LULUCF|NOx|Non-fatal heart attacks", US_national_yearly!$D:$AM, 10, FALSE), 1)</f>
        <v>2.1972969578020396E-4</v>
      </c>
      <c r="L13" s="7">
        <f>$B13 * IFERROR(VLOOKUP("LULUCF|NOx|Non-fatal heart attacks", US_national_yearly!$D:$AM, 20, FALSE) / VLOOKUP("LULUCF|NOx|Non-fatal heart attacks", US_national_yearly!$D:$AM, 10, FALSE), 1)</f>
        <v>2.2348942251753406E-4</v>
      </c>
      <c r="M13" s="7">
        <f>$B13 * IFERROR(VLOOKUP("LULUCF|NOx|Non-fatal heart attacks", US_national_yearly!$D:$AM, 21, FALSE) / VLOOKUP("LULUCF|NOx|Non-fatal heart attacks", US_national_yearly!$D:$AM, 10, FALSE), 1)</f>
        <v>2.2724914925486401E-4</v>
      </c>
      <c r="N13" s="7">
        <f>$B13 * IFERROR(VLOOKUP("LULUCF|NOx|Non-fatal heart attacks", US_national_yearly!$D:$AM, 22, FALSE) / VLOOKUP("LULUCF|NOx|Non-fatal heart attacks", US_national_yearly!$D:$AM, 10, FALSE), 1)</f>
        <v>2.2951111487968688E-4</v>
      </c>
      <c r="O13" s="7">
        <f>$B13 * IFERROR(VLOOKUP("LULUCF|NOx|Non-fatal heart attacks", US_national_yearly!$D:$AM, 23, FALSE) / VLOOKUP("LULUCF|NOx|Non-fatal heart attacks", US_national_yearly!$D:$AM, 10, FALSE), 1)</f>
        <v>2.3177308050450977E-4</v>
      </c>
      <c r="P13" s="7">
        <f>$B13 * IFERROR(VLOOKUP("LULUCF|NOx|Non-fatal heart attacks", US_national_yearly!$D:$AM, 24, FALSE) / VLOOKUP("LULUCF|NOx|Non-fatal heart attacks", US_national_yearly!$D:$AM, 10, FALSE), 1)</f>
        <v>2.3403504612933262E-4</v>
      </c>
      <c r="Q13" s="7">
        <f>$B13 * IFERROR(VLOOKUP("LULUCF|NOx|Non-fatal heart attacks", US_national_yearly!$D:$AM, 25, FALSE) / VLOOKUP("LULUCF|NOx|Non-fatal heart attacks", US_national_yearly!$D:$AM, 10, FALSE), 1)</f>
        <v>2.3629701175415554E-4</v>
      </c>
      <c r="R13" s="7">
        <f>$B13 * IFERROR(VLOOKUP("LULUCF|NOx|Non-fatal heart attacks", US_national_yearly!$D:$AM, 26, FALSE) / VLOOKUP("LULUCF|NOx|Non-fatal heart attacks", US_national_yearly!$D:$AM, 10, FALSE), 1)</f>
        <v>2.3855897737897841E-4</v>
      </c>
      <c r="S13" s="7">
        <f>$B13 * IFERROR(VLOOKUP("LULUCF|NOx|Non-fatal heart attacks", US_national_yearly!$D:$AM, 27, FALSE) / VLOOKUP("LULUCF|NOx|Non-fatal heart attacks", US_national_yearly!$D:$AM, 10, FALSE), 1)</f>
        <v>2.3958502063099383E-4</v>
      </c>
      <c r="T13" s="7">
        <f>$B13 * IFERROR(VLOOKUP("LULUCF|NOx|Non-fatal heart attacks", US_national_yearly!$D:$AM, 28, FALSE) / VLOOKUP("LULUCF|NOx|Non-fatal heart attacks", US_national_yearly!$D:$AM, 10, FALSE), 1)</f>
        <v>2.4061106388300921E-4</v>
      </c>
      <c r="U13" s="7">
        <f>$B13 * IFERROR(VLOOKUP("LULUCF|NOx|Non-fatal heart attacks", US_national_yearly!$D:$AM, 29, FALSE) / VLOOKUP("LULUCF|NOx|Non-fatal heart attacks", US_national_yearly!$D:$AM, 10, FALSE), 1)</f>
        <v>2.4163710713502462E-4</v>
      </c>
      <c r="V13" s="7">
        <f>$B13 * IFERROR(VLOOKUP("LULUCF|NOx|Non-fatal heart attacks", US_national_yearly!$D:$AM, 30, FALSE) / VLOOKUP("LULUCF|NOx|Non-fatal heart attacks", US_national_yearly!$D:$AM, 10, FALSE), 1)</f>
        <v>2.4266315038704001E-4</v>
      </c>
      <c r="W13" s="7">
        <f>$B13 * IFERROR(VLOOKUP("LULUCF|NOx|Non-fatal heart attacks", US_national_yearly!$D:$AM, 31, FALSE) / VLOOKUP("LULUCF|NOx|Non-fatal heart attacks", US_national_yearly!$D:$AM, 10, FALSE), 1)</f>
        <v>2.4368919363905542E-4</v>
      </c>
      <c r="X13" s="7">
        <f>$B13 * IFERROR(VLOOKUP("LULUCF|NOx|Non-fatal heart attacks", US_national_yearly!$D:$AM, 32, FALSE) / VLOOKUP("LULUCF|NOx|Non-fatal heart attacks", US_national_yearly!$D:$AM, 10, FALSE), 1)</f>
        <v>2.4437484972861191E-4</v>
      </c>
      <c r="Y13" s="7">
        <f>$B13 * IFERROR(VLOOKUP("LULUCF|NOx|Non-fatal heart attacks", US_national_yearly!$D:$AM, 33, FALSE) / VLOOKUP("LULUCF|NOx|Non-fatal heart attacks", US_national_yearly!$D:$AM, 10, FALSE), 1)</f>
        <v>2.4506050581816845E-4</v>
      </c>
      <c r="Z13" s="7">
        <f>$B13 * IFERROR(VLOOKUP("LULUCF|NOx|Non-fatal heart attacks", US_national_yearly!$D:$AM, 34, FALSE) / VLOOKUP("LULUCF|NOx|Non-fatal heart attacks", US_national_yearly!$D:$AM, 10, FALSE), 1)</f>
        <v>2.4574616190772494E-4</v>
      </c>
      <c r="AA13" s="7">
        <f>$B13 * IFERROR(VLOOKUP("LULUCF|NOx|Non-fatal heart attacks", US_national_yearly!$D:$AM, 35, FALSE) / VLOOKUP("LULUCF|NOx|Non-fatal heart attacks", US_national_yearly!$D:$AM, 10, FALSE), 1)</f>
        <v>2.4643181799728148E-4</v>
      </c>
      <c r="AB13" s="7">
        <f>$B13 * IFERROR(VLOOKUP("LULUCF|NOx|Non-fatal heart attacks", US_national_yearly!$D:$AM, 36, FALSE) / VLOOKUP("LULUCF|NOx|Non-fatal heart attacks", US_national_yearly!$D:$AM, 10, FALSE), 1)</f>
        <v>2.4711747408683802E-4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0.14310202830414645</v>
      </c>
      <c r="C14" s="7">
        <f>$B14 * IFERROR(VLOOKUP("LULUCF|NOx|Minor restricted activity days", US_national_yearly!$D:$AM, 11, FALSE) / VLOOKUP("LULUCF|NOx|Minor restricted activity days", US_national_yearly!$D:$AM, 10, FALSE), 1)</f>
        <v>0.14332142772872195</v>
      </c>
      <c r="D14" s="7">
        <f>$B14 * IFERROR(VLOOKUP("LULUCF|NOx|Minor restricted activity days", US_national_yearly!$D:$AM, 12, FALSE) / VLOOKUP("LULUCF|NOx|Minor restricted activity days", US_national_yearly!$D:$AM, 10, FALSE), 1)</f>
        <v>0.1435408271532975</v>
      </c>
      <c r="E14" s="7">
        <f>$B14 * IFERROR(VLOOKUP("LULUCF|NOx|Minor restricted activity days", US_national_yearly!$D:$AM, 13, FALSE) / VLOOKUP("LULUCF|NOx|Minor restricted activity days", US_national_yearly!$D:$AM, 10, FALSE), 1)</f>
        <v>0.14376022657787302</v>
      </c>
      <c r="F14" s="7">
        <f>$B14 * IFERROR(VLOOKUP("LULUCF|NOx|Minor restricted activity days", US_national_yearly!$D:$AM, 14, FALSE) / VLOOKUP("LULUCF|NOx|Minor restricted activity days", US_national_yearly!$D:$AM, 10, FALSE), 1)</f>
        <v>0.14397962600244851</v>
      </c>
      <c r="G14" s="7">
        <f>$B14 * IFERROR(VLOOKUP("LULUCF|NOx|Minor restricted activity days", US_national_yearly!$D:$AM, 15, FALSE) / VLOOKUP("LULUCF|NOx|Minor restricted activity days", US_national_yearly!$D:$AM, 10, FALSE), 1)</f>
        <v>0.14437580914168152</v>
      </c>
      <c r="H14" s="7">
        <f>$B14 * IFERROR(VLOOKUP("LULUCF|NOx|Minor restricted activity days", US_national_yearly!$D:$AM, 16, FALSE) / VLOOKUP("LULUCF|NOx|Minor restricted activity days", US_national_yearly!$D:$AM, 10, FALSE), 1)</f>
        <v>0.14477199228091447</v>
      </c>
      <c r="I14" s="7">
        <f>$B14 * IFERROR(VLOOKUP("LULUCF|NOx|Minor restricted activity days", US_national_yearly!$D:$AM, 17, FALSE) / VLOOKUP("LULUCF|NOx|Minor restricted activity days", US_national_yearly!$D:$AM, 10, FALSE), 1)</f>
        <v>0.14554691083455179</v>
      </c>
      <c r="J14" s="7">
        <f>$B14 * IFERROR(VLOOKUP("LULUCF|NOx|Minor restricted activity days", US_national_yearly!$D:$AM, 18, FALSE) / VLOOKUP("LULUCF|NOx|Minor restricted activity days", US_national_yearly!$D:$AM, 10, FALSE), 1)</f>
        <v>0.14632182938818905</v>
      </c>
      <c r="K14" s="7">
        <f>$B14 * IFERROR(VLOOKUP("LULUCF|NOx|Minor restricted activity days", US_national_yearly!$D:$AM, 19, FALSE) / VLOOKUP("LULUCF|NOx|Minor restricted activity days", US_national_yearly!$D:$AM, 10, FALSE), 1)</f>
        <v>0.14709674794182634</v>
      </c>
      <c r="L14" s="7">
        <f>$B14 * IFERROR(VLOOKUP("LULUCF|NOx|Minor restricted activity days", US_national_yearly!$D:$AM, 20, FALSE) / VLOOKUP("LULUCF|NOx|Minor restricted activity days", US_national_yearly!$D:$AM, 10, FALSE), 1)</f>
        <v>0.1478716664954636</v>
      </c>
      <c r="M14" s="7">
        <f>$B14 * IFERROR(VLOOKUP("LULUCF|NOx|Minor restricted activity days", US_national_yearly!$D:$AM, 21, FALSE) / VLOOKUP("LULUCF|NOx|Minor restricted activity days", US_national_yearly!$D:$AM, 10, FALSE), 1)</f>
        <v>0.14864658504910092</v>
      </c>
      <c r="N14" s="7">
        <f>$B14 * IFERROR(VLOOKUP("LULUCF|NOx|Minor restricted activity days", US_national_yearly!$D:$AM, 22, FALSE) / VLOOKUP("LULUCF|NOx|Minor restricted activity days", US_national_yearly!$D:$AM, 10, FALSE), 1)</f>
        <v>0.14975609270893322</v>
      </c>
      <c r="O14" s="7">
        <f>$B14 * IFERROR(VLOOKUP("LULUCF|NOx|Minor restricted activity days", US_national_yearly!$D:$AM, 23, FALSE) / VLOOKUP("LULUCF|NOx|Minor restricted activity days", US_national_yearly!$D:$AM, 10, FALSE), 1)</f>
        <v>0.15086560036876553</v>
      </c>
      <c r="P14" s="7">
        <f>$B14 * IFERROR(VLOOKUP("LULUCF|NOx|Minor restricted activity days", US_national_yearly!$D:$AM, 24, FALSE) / VLOOKUP("LULUCF|NOx|Minor restricted activity days", US_national_yearly!$D:$AM, 10, FALSE), 1)</f>
        <v>0.15197510802859784</v>
      </c>
      <c r="Q14" s="7">
        <f>$B14 * IFERROR(VLOOKUP("LULUCF|NOx|Minor restricted activity days", US_national_yearly!$D:$AM, 25, FALSE) / VLOOKUP("LULUCF|NOx|Minor restricted activity days", US_national_yearly!$D:$AM, 10, FALSE), 1)</f>
        <v>0.15308461568843018</v>
      </c>
      <c r="R14" s="7">
        <f>$B14 * IFERROR(VLOOKUP("LULUCF|NOx|Minor restricted activity days", US_national_yearly!$D:$AM, 26, FALSE) / VLOOKUP("LULUCF|NOx|Minor restricted activity days", US_national_yearly!$D:$AM, 10, FALSE), 1)</f>
        <v>0.15419412334826249</v>
      </c>
      <c r="S14" s="7">
        <f>$B14 * IFERROR(VLOOKUP("LULUCF|NOx|Minor restricted activity days", US_national_yearly!$D:$AM, 27, FALSE) / VLOOKUP("LULUCF|NOx|Minor restricted activity days", US_national_yearly!$D:$AM, 10, FALSE), 1)</f>
        <v>0.15530339773648405</v>
      </c>
      <c r="T14" s="7">
        <f>$B14 * IFERROR(VLOOKUP("LULUCF|NOx|Minor restricted activity days", US_national_yearly!$D:$AM, 28, FALSE) / VLOOKUP("LULUCF|NOx|Minor restricted activity days", US_national_yearly!$D:$AM, 10, FALSE), 1)</f>
        <v>0.15641267212470561</v>
      </c>
      <c r="U14" s="7">
        <f>$B14 * IFERROR(VLOOKUP("LULUCF|NOx|Minor restricted activity days", US_national_yearly!$D:$AM, 29, FALSE) / VLOOKUP("LULUCF|NOx|Minor restricted activity days", US_national_yearly!$D:$AM, 10, FALSE), 1)</f>
        <v>0.15752194651292717</v>
      </c>
      <c r="V14" s="7">
        <f>$B14 * IFERROR(VLOOKUP("LULUCF|NOx|Minor restricted activity days", US_national_yearly!$D:$AM, 30, FALSE) / VLOOKUP("LULUCF|NOx|Minor restricted activity days", US_national_yearly!$D:$AM, 10, FALSE), 1)</f>
        <v>0.15863122090114873</v>
      </c>
      <c r="W14" s="7">
        <f>$B14 * IFERROR(VLOOKUP("LULUCF|NOx|Minor restricted activity days", US_national_yearly!$D:$AM, 31, FALSE) / VLOOKUP("LULUCF|NOx|Minor restricted activity days", US_national_yearly!$D:$AM, 10, FALSE), 1)</f>
        <v>0.15974049528937026</v>
      </c>
      <c r="X14" s="7">
        <f>$B14 * IFERROR(VLOOKUP("LULUCF|NOx|Minor restricted activity days", US_national_yearly!$D:$AM, 32, FALSE) / VLOOKUP("LULUCF|NOx|Minor restricted activity days", US_national_yearly!$D:$AM, 10, FALSE), 1)</f>
        <v>0.16067834452588323</v>
      </c>
      <c r="Y14" s="7">
        <f>$B14 * IFERROR(VLOOKUP("LULUCF|NOx|Minor restricted activity days", US_national_yearly!$D:$AM, 33, FALSE) / VLOOKUP("LULUCF|NOx|Minor restricted activity days", US_national_yearly!$D:$AM, 10, FALSE), 1)</f>
        <v>0.16161619376239617</v>
      </c>
      <c r="Z14" s="7">
        <f>$B14 * IFERROR(VLOOKUP("LULUCF|NOx|Minor restricted activity days", US_national_yearly!$D:$AM, 34, FALSE) / VLOOKUP("LULUCF|NOx|Minor restricted activity days", US_national_yearly!$D:$AM, 10, FALSE), 1)</f>
        <v>0.16255404299890913</v>
      </c>
      <c r="AA14" s="7">
        <f>$B14 * IFERROR(VLOOKUP("LULUCF|NOx|Minor restricted activity days", US_national_yearly!$D:$AM, 35, FALSE) / VLOOKUP("LULUCF|NOx|Minor restricted activity days", US_national_yearly!$D:$AM, 10, FALSE), 1)</f>
        <v>0.1634918922354221</v>
      </c>
      <c r="AB14" s="7">
        <f>$B14 * IFERROR(VLOOKUP("LULUCF|NOx|Minor restricted activity days", US_national_yearly!$D:$AM, 36, FALSE) / VLOOKUP("LULUCF|NOx|Minor restricted activity days", US_national_yearly!$D:$AM, 10, FALSE), 1)</f>
        <v>0.16442974147193504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2.4277018214100953E-2</v>
      </c>
      <c r="C15" s="7">
        <f>$B15 * IFERROR(VLOOKUP("LULUCF|NOx|Work loss days", US_national_yearly!$D:$AM, 11, FALSE) / VLOOKUP("LULUCF|NOx|Work loss days", US_national_yearly!$D:$AM, 10, FALSE), 1)</f>
        <v>2.433102113509714E-2</v>
      </c>
      <c r="D15" s="7">
        <f>$B15 * IFERROR(VLOOKUP("LULUCF|NOx|Work loss days", US_national_yearly!$D:$AM, 12, FALSE) / VLOOKUP("LULUCF|NOx|Work loss days", US_national_yearly!$D:$AM, 10, FALSE), 1)</f>
        <v>2.4385024056093333E-2</v>
      </c>
      <c r="E15" s="7">
        <f>$B15 * IFERROR(VLOOKUP("LULUCF|NOx|Work loss days", US_national_yearly!$D:$AM, 13, FALSE) / VLOOKUP("LULUCF|NOx|Work loss days", US_national_yearly!$D:$AM, 10, FALSE), 1)</f>
        <v>2.443902697708952E-2</v>
      </c>
      <c r="F15" s="7">
        <f>$B15 * IFERROR(VLOOKUP("LULUCF|NOx|Work loss days", US_national_yearly!$D:$AM, 14, FALSE) / VLOOKUP("LULUCF|NOx|Work loss days", US_national_yearly!$D:$AM, 10, FALSE), 1)</f>
        <v>2.4493029898085709E-2</v>
      </c>
      <c r="G15" s="7">
        <f>$B15 * IFERROR(VLOOKUP("LULUCF|NOx|Work loss days", US_national_yearly!$D:$AM, 15, FALSE) / VLOOKUP("LULUCF|NOx|Work loss days", US_national_yearly!$D:$AM, 10, FALSE), 1)</f>
        <v>2.457187462340904E-2</v>
      </c>
      <c r="H15" s="7">
        <f>$B15 * IFERROR(VLOOKUP("LULUCF|NOx|Work loss days", US_national_yearly!$D:$AM, 16, FALSE) / VLOOKUP("LULUCF|NOx|Work loss days", US_national_yearly!$D:$AM, 10, FALSE), 1)</f>
        <v>2.4650719348732371E-2</v>
      </c>
      <c r="I15" s="7">
        <f>$B15 * IFERROR(VLOOKUP("LULUCF|NOx|Work loss days", US_national_yearly!$D:$AM, 17, FALSE) / VLOOKUP("LULUCF|NOx|Work loss days", US_national_yearly!$D:$AM, 10, FALSE), 1)</f>
        <v>2.4778443530670345E-2</v>
      </c>
      <c r="J15" s="7">
        <f>$B15 * IFERROR(VLOOKUP("LULUCF|NOx|Work loss days", US_national_yearly!$D:$AM, 18, FALSE) / VLOOKUP("LULUCF|NOx|Work loss days", US_national_yearly!$D:$AM, 10, FALSE), 1)</f>
        <v>2.4906167712608326E-2</v>
      </c>
      <c r="K15" s="7">
        <f>$B15 * IFERROR(VLOOKUP("LULUCF|NOx|Work loss days", US_national_yearly!$D:$AM, 19, FALSE) / VLOOKUP("LULUCF|NOx|Work loss days", US_national_yearly!$D:$AM, 10, FALSE), 1)</f>
        <v>2.5033891894546301E-2</v>
      </c>
      <c r="L15" s="7">
        <f>$B15 * IFERROR(VLOOKUP("LULUCF|NOx|Work loss days", US_national_yearly!$D:$AM, 20, FALSE) / VLOOKUP("LULUCF|NOx|Work loss days", US_national_yearly!$D:$AM, 10, FALSE), 1)</f>
        <v>2.5161616076484275E-2</v>
      </c>
      <c r="M15" s="7">
        <f>$B15 * IFERROR(VLOOKUP("LULUCF|NOx|Work loss days", US_national_yearly!$D:$AM, 21, FALSE) / VLOOKUP("LULUCF|NOx|Work loss days", US_national_yearly!$D:$AM, 10, FALSE), 1)</f>
        <v>2.5289340258422253E-2</v>
      </c>
      <c r="N15" s="7">
        <f>$B15 * IFERROR(VLOOKUP("LULUCF|NOx|Work loss days", US_national_yearly!$D:$AM, 22, FALSE) / VLOOKUP("LULUCF|NOx|Work loss days", US_national_yearly!$D:$AM, 10, FALSE), 1)</f>
        <v>2.5455565443709617E-2</v>
      </c>
      <c r="O15" s="7">
        <f>$B15 * IFERROR(VLOOKUP("LULUCF|NOx|Work loss days", US_national_yearly!$D:$AM, 23, FALSE) / VLOOKUP("LULUCF|NOx|Work loss days", US_national_yearly!$D:$AM, 10, FALSE), 1)</f>
        <v>2.5621790628996981E-2</v>
      </c>
      <c r="P15" s="7">
        <f>$B15 * IFERROR(VLOOKUP("LULUCF|NOx|Work loss days", US_national_yearly!$D:$AM, 24, FALSE) / VLOOKUP("LULUCF|NOx|Work loss days", US_national_yearly!$D:$AM, 10, FALSE), 1)</f>
        <v>2.5788015814284346E-2</v>
      </c>
      <c r="Q15" s="7">
        <f>$B15 * IFERROR(VLOOKUP("LULUCF|NOx|Work loss days", US_national_yearly!$D:$AM, 25, FALSE) / VLOOKUP("LULUCF|NOx|Work loss days", US_national_yearly!$D:$AM, 10, FALSE), 1)</f>
        <v>2.5954240999571707E-2</v>
      </c>
      <c r="R15" s="7">
        <f>$B15 * IFERROR(VLOOKUP("LULUCF|NOx|Work loss days", US_national_yearly!$D:$AM, 26, FALSE) / VLOOKUP("LULUCF|NOx|Work loss days", US_national_yearly!$D:$AM, 10, FALSE), 1)</f>
        <v>2.6120466184859078E-2</v>
      </c>
      <c r="S15" s="7">
        <f>$B15 * IFERROR(VLOOKUP("LULUCF|NOx|Work loss days", US_national_yearly!$D:$AM, 27, FALSE) / VLOOKUP("LULUCF|NOx|Work loss days", US_national_yearly!$D:$AM, 10, FALSE), 1)</f>
        <v>2.6305786012569068E-2</v>
      </c>
      <c r="T15" s="7">
        <f>$B15 * IFERROR(VLOOKUP("LULUCF|NOx|Work loss days", US_national_yearly!$D:$AM, 28, FALSE) / VLOOKUP("LULUCF|NOx|Work loss days", US_national_yearly!$D:$AM, 10, FALSE), 1)</f>
        <v>2.6491105840279059E-2</v>
      </c>
      <c r="U15" s="7">
        <f>$B15 * IFERROR(VLOOKUP("LULUCF|NOx|Work loss days", US_national_yearly!$D:$AM, 29, FALSE) / VLOOKUP("LULUCF|NOx|Work loss days", US_national_yearly!$D:$AM, 10, FALSE), 1)</f>
        <v>2.6676425667989046E-2</v>
      </c>
      <c r="V15" s="7">
        <f>$B15 * IFERROR(VLOOKUP("LULUCF|NOx|Work loss days", US_national_yearly!$D:$AM, 30, FALSE) / VLOOKUP("LULUCF|NOx|Work loss days", US_national_yearly!$D:$AM, 10, FALSE), 1)</f>
        <v>2.6861745495699037E-2</v>
      </c>
      <c r="W15" s="7">
        <f>$B15 * IFERROR(VLOOKUP("LULUCF|NOx|Work loss days", US_national_yearly!$D:$AM, 31, FALSE) / VLOOKUP("LULUCF|NOx|Work loss days", US_national_yearly!$D:$AM, 10, FALSE), 1)</f>
        <v>2.7047065323409027E-2</v>
      </c>
      <c r="X15" s="7">
        <f>$B15 * IFERROR(VLOOKUP("LULUCF|NOx|Work loss days", US_national_yearly!$D:$AM, 32, FALSE) / VLOOKUP("LULUCF|NOx|Work loss days", US_national_yearly!$D:$AM, 10, FALSE), 1)</f>
        <v>2.7207913053212122E-2</v>
      </c>
      <c r="Y15" s="7">
        <f>$B15 * IFERROR(VLOOKUP("LULUCF|NOx|Work loss days", US_national_yearly!$D:$AM, 33, FALSE) / VLOOKUP("LULUCF|NOx|Work loss days", US_national_yearly!$D:$AM, 10, FALSE), 1)</f>
        <v>2.7368760783015218E-2</v>
      </c>
      <c r="Z15" s="7">
        <f>$B15 * IFERROR(VLOOKUP("LULUCF|NOx|Work loss days", US_national_yearly!$D:$AM, 34, FALSE) / VLOOKUP("LULUCF|NOx|Work loss days", US_national_yearly!$D:$AM, 10, FALSE), 1)</f>
        <v>2.7529608512818309E-2</v>
      </c>
      <c r="AA15" s="7">
        <f>$B15 * IFERROR(VLOOKUP("LULUCF|NOx|Work loss days", US_national_yearly!$D:$AM, 35, FALSE) / VLOOKUP("LULUCF|NOx|Work loss days", US_national_yearly!$D:$AM, 10, FALSE), 1)</f>
        <v>2.7690456242621404E-2</v>
      </c>
      <c r="AB15" s="7">
        <f>$B15 * IFERROR(VLOOKUP("LULUCF|NOx|Work loss days", US_national_yearly!$D:$AM, 36, FALSE) / VLOOKUP("LULUCF|NOx|Work loss days", US_national_yearly!$D:$AM, 10, FALSE), 1)</f>
        <v>2.7851303972424499E-2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3.4280828313829551E-5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3.5288157828768323E-5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3.6295487343707081E-5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3.7302816858645845E-5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3.831014637358461E-5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3.9266942826062346E-5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4.0223739278540082E-5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4.1028331282393764E-5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4.1832923286247453E-5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4.2637515290101135E-5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4.3442107293954823E-5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4.4246699297808512E-5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4.4749837337801948E-5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4.5252975377795384E-5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4.5756113417788813E-5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4.6259251457782248E-5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4.6762389497775684E-5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4.6991957569012247E-5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4.7221525640248817E-5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4.745109371148538E-5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4.7680661782721949E-5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4.7910229853958512E-5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4.8037992444638278E-5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4.8165755035318037E-5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4.8293517625997796E-5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4.8421280216677555E-5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4.8549042807357315E-5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3.8622390387328925E-4</v>
      </c>
      <c r="C2" s="7">
        <f>$B2 * IFERROR(VLOOKUP("LULUCF|SO2|Premature mortality", US_national_yearly!$D:$AM, 11, FALSE) / VLOOKUP("LULUCF|SO2|Premature mortality", US_national_yearly!$D:$AM, 10, FALSE), 1)</f>
        <v>3.9111522064382774E-4</v>
      </c>
      <c r="D2" s="7">
        <f>$B2 * IFERROR(VLOOKUP("LULUCF|SO2|Premature mortality", US_national_yearly!$D:$AM, 12, FALSE) / VLOOKUP("LULUCF|SO2|Premature mortality", US_national_yearly!$D:$AM, 10, FALSE), 1)</f>
        <v>3.9600653741436628E-4</v>
      </c>
      <c r="E2" s="7">
        <f>$B2 * IFERROR(VLOOKUP("LULUCF|SO2|Premature mortality", US_national_yearly!$D:$AM, 13, FALSE) / VLOOKUP("LULUCF|SO2|Premature mortality", US_national_yearly!$D:$AM, 10, FALSE), 1)</f>
        <v>4.0089785418490471E-4</v>
      </c>
      <c r="F2" s="7">
        <f>$B2 * IFERROR(VLOOKUP("LULUCF|SO2|Premature mortality", US_national_yearly!$D:$AM, 14, FALSE) / VLOOKUP("LULUCF|SO2|Premature mortality", US_national_yearly!$D:$AM, 10, FALSE), 1)</f>
        <v>4.057891709554432E-4</v>
      </c>
      <c r="G2" s="7">
        <f>$B2 * IFERROR(VLOOKUP("LULUCF|SO2|Premature mortality", US_national_yearly!$D:$AM, 15, FALSE) / VLOOKUP("LULUCF|SO2|Premature mortality", US_national_yearly!$D:$AM, 10, FALSE), 1)</f>
        <v>4.1521446116250934E-4</v>
      </c>
      <c r="H2" s="7">
        <f>$B2 * IFERROR(VLOOKUP("LULUCF|SO2|Premature mortality", US_national_yearly!$D:$AM, 16, FALSE) / VLOOKUP("LULUCF|SO2|Premature mortality", US_national_yearly!$D:$AM, 10, FALSE), 1)</f>
        <v>4.2463975136957537E-4</v>
      </c>
      <c r="I2" s="7">
        <f>$B2 * IFERROR(VLOOKUP("LULUCF|SO2|Premature mortality", US_national_yearly!$D:$AM, 17, FALSE) / VLOOKUP("LULUCF|SO2|Premature mortality", US_national_yearly!$D:$AM, 10, FALSE), 1)</f>
        <v>4.3086856066381995E-4</v>
      </c>
      <c r="J2" s="7">
        <f>$B2 * IFERROR(VLOOKUP("LULUCF|SO2|Premature mortality", US_national_yearly!$D:$AM, 18, FALSE) / VLOOKUP("LULUCF|SO2|Premature mortality", US_national_yearly!$D:$AM, 10, FALSE), 1)</f>
        <v>4.3709736995806446E-4</v>
      </c>
      <c r="K2" s="7">
        <f>$B2 * IFERROR(VLOOKUP("LULUCF|SO2|Premature mortality", US_national_yearly!$D:$AM, 19, FALSE) / VLOOKUP("LULUCF|SO2|Premature mortality", US_national_yearly!$D:$AM, 10, FALSE), 1)</f>
        <v>4.4332617925230892E-4</v>
      </c>
      <c r="L2" s="7">
        <f>$B2 * IFERROR(VLOOKUP("LULUCF|SO2|Premature mortality", US_national_yearly!$D:$AM, 20, FALSE) / VLOOKUP("LULUCF|SO2|Premature mortality", US_national_yearly!$D:$AM, 10, FALSE), 1)</f>
        <v>4.4955498854655344E-4</v>
      </c>
      <c r="M2" s="7">
        <f>$B2 * IFERROR(VLOOKUP("LULUCF|SO2|Premature mortality", US_national_yearly!$D:$AM, 21, FALSE) / VLOOKUP("LULUCF|SO2|Premature mortality", US_national_yearly!$D:$AM, 10, FALSE), 1)</f>
        <v>4.5578379784079801E-4</v>
      </c>
      <c r="N2" s="7">
        <f>$B2 * IFERROR(VLOOKUP("LULUCF|SO2|Premature mortality", US_national_yearly!$D:$AM, 22, FALSE) / VLOOKUP("LULUCF|SO2|Premature mortality", US_national_yearly!$D:$AM, 10, FALSE), 1)</f>
        <v>4.606506515557203E-4</v>
      </c>
      <c r="O2" s="7">
        <f>$B2 * IFERROR(VLOOKUP("LULUCF|SO2|Premature mortality", US_national_yearly!$D:$AM, 23, FALSE) / VLOOKUP("LULUCF|SO2|Premature mortality", US_national_yearly!$D:$AM, 10, FALSE), 1)</f>
        <v>4.6551750527064264E-4</v>
      </c>
      <c r="P2" s="7">
        <f>$B2 * IFERROR(VLOOKUP("LULUCF|SO2|Premature mortality", US_national_yearly!$D:$AM, 24, FALSE) / VLOOKUP("LULUCF|SO2|Premature mortality", US_national_yearly!$D:$AM, 10, FALSE), 1)</f>
        <v>4.7038435898556492E-4</v>
      </c>
      <c r="Q2" s="7">
        <f>$B2 * IFERROR(VLOOKUP("LULUCF|SO2|Premature mortality", US_national_yearly!$D:$AM, 25, FALSE) / VLOOKUP("LULUCF|SO2|Premature mortality", US_national_yearly!$D:$AM, 10, FALSE), 1)</f>
        <v>4.7525121270048726E-4</v>
      </c>
      <c r="R2" s="7">
        <f>$B2 * IFERROR(VLOOKUP("LULUCF|SO2|Premature mortality", US_national_yearly!$D:$AM, 26, FALSE) / VLOOKUP("LULUCF|SO2|Premature mortality", US_national_yearly!$D:$AM, 10, FALSE), 1)</f>
        <v>4.8011806641540949E-4</v>
      </c>
      <c r="S2" s="7">
        <f>$B2 * IFERROR(VLOOKUP("LULUCF|SO2|Premature mortality", US_national_yearly!$D:$AM, 27, FALSE) / VLOOKUP("LULUCF|SO2|Premature mortality", US_national_yearly!$D:$AM, 10, FALSE), 1)</f>
        <v>4.8272433138287732E-4</v>
      </c>
      <c r="T2" s="7">
        <f>$B2 * IFERROR(VLOOKUP("LULUCF|SO2|Premature mortality", US_national_yearly!$D:$AM, 28, FALSE) / VLOOKUP("LULUCF|SO2|Premature mortality", US_national_yearly!$D:$AM, 10, FALSE), 1)</f>
        <v>4.853305963503451E-4</v>
      </c>
      <c r="U2" s="7">
        <f>$B2 * IFERROR(VLOOKUP("LULUCF|SO2|Premature mortality", US_national_yearly!$D:$AM, 29, FALSE) / VLOOKUP("LULUCF|SO2|Premature mortality", US_national_yearly!$D:$AM, 10, FALSE), 1)</f>
        <v>4.8793686131781282E-4</v>
      </c>
      <c r="V2" s="7">
        <f>$B2 * IFERROR(VLOOKUP("LULUCF|SO2|Premature mortality", US_national_yearly!$D:$AM, 30, FALSE) / VLOOKUP("LULUCF|SO2|Premature mortality", US_national_yearly!$D:$AM, 10, FALSE), 1)</f>
        <v>4.905431262852806E-4</v>
      </c>
      <c r="W2" s="7">
        <f>$B2 * IFERROR(VLOOKUP("LULUCF|SO2|Premature mortality", US_national_yearly!$D:$AM, 31, FALSE) / VLOOKUP("LULUCF|SO2|Premature mortality", US_national_yearly!$D:$AM, 10, FALSE), 1)</f>
        <v>4.9314939125274842E-4</v>
      </c>
      <c r="X2" s="7">
        <f>$B2 * IFERROR(VLOOKUP("LULUCF|SO2|Premature mortality", US_national_yearly!$D:$AM, 32, FALSE) / VLOOKUP("LULUCF|SO2|Premature mortality", US_national_yearly!$D:$AM, 10, FALSE), 1)</f>
        <v>4.9367886195285447E-4</v>
      </c>
      <c r="Y2" s="7">
        <f>$B2 * IFERROR(VLOOKUP("LULUCF|SO2|Premature mortality", US_national_yearly!$D:$AM, 33, FALSE) / VLOOKUP("LULUCF|SO2|Premature mortality", US_national_yearly!$D:$AM, 10, FALSE), 1)</f>
        <v>4.9420833265296073E-4</v>
      </c>
      <c r="Z2" s="7">
        <f>$B2 * IFERROR(VLOOKUP("LULUCF|SO2|Premature mortality", US_national_yearly!$D:$AM, 34, FALSE) / VLOOKUP("LULUCF|SO2|Premature mortality", US_national_yearly!$D:$AM, 10, FALSE), 1)</f>
        <v>4.9473780335306688E-4</v>
      </c>
      <c r="AA2" s="7">
        <f>$B2 * IFERROR(VLOOKUP("LULUCF|SO2|Premature mortality", US_national_yearly!$D:$AM, 35, FALSE) / VLOOKUP("LULUCF|SO2|Premature mortality", US_national_yearly!$D:$AM, 10, FALSE), 1)</f>
        <v>4.9526727405317303E-4</v>
      </c>
      <c r="AB2" s="7">
        <f>$B2 * IFERROR(VLOOKUP("LULUCF|SO2|Premature mortality", US_national_yearly!$D:$AM, 36, FALSE) / VLOOKUP("LULUCF|SO2|Premature mortality", US_national_yearly!$D:$AM, 10, FALSE), 1)</f>
        <v>4.9579674475327907E-4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9.8743750248330403E-7</v>
      </c>
      <c r="C3" s="7">
        <f>$B3 * IFERROR(VLOOKUP("LULUCF|SO2|Infant mortality", US_national_yearly!$D:$AM, 11, FALSE) / VLOOKUP("LULUCF|SO2|Infant mortality", US_national_yearly!$D:$AM, 10, FALSE), 1)</f>
        <v>9.7895523422287099E-7</v>
      </c>
      <c r="D3" s="7">
        <f>$B3 * IFERROR(VLOOKUP("LULUCF|SO2|Infant mortality", US_national_yearly!$D:$AM, 12, FALSE) / VLOOKUP("LULUCF|SO2|Infant mortality", US_national_yearly!$D:$AM, 10, FALSE), 1)</f>
        <v>9.7047296596243816E-7</v>
      </c>
      <c r="E3" s="7">
        <f>$B3 * IFERROR(VLOOKUP("LULUCF|SO2|Infant mortality", US_national_yearly!$D:$AM, 13, FALSE) / VLOOKUP("LULUCF|SO2|Infant mortality", US_national_yearly!$D:$AM, 10, FALSE), 1)</f>
        <v>9.6199069770200491E-7</v>
      </c>
      <c r="F3" s="7">
        <f>$B3 * IFERROR(VLOOKUP("LULUCF|SO2|Infant mortality", US_national_yearly!$D:$AM, 14, FALSE) / VLOOKUP("LULUCF|SO2|Infant mortality", US_national_yearly!$D:$AM, 10, FALSE), 1)</f>
        <v>9.5350842944157208E-7</v>
      </c>
      <c r="G3" s="7">
        <f>$B3 * IFERROR(VLOOKUP("LULUCF|SO2|Infant mortality", US_national_yearly!$D:$AM, 15, FALSE) / VLOOKUP("LULUCF|SO2|Infant mortality", US_national_yearly!$D:$AM, 10, FALSE), 1)</f>
        <v>6.3511341108419636E-7</v>
      </c>
      <c r="H3" s="7">
        <f>$B3 * IFERROR(VLOOKUP("LULUCF|SO2|Infant mortality", US_national_yearly!$D:$AM, 16, FALSE) / VLOOKUP("LULUCF|SO2|Infant mortality", US_national_yearly!$D:$AM, 10, FALSE), 1)</f>
        <v>3.1671839272682117E-7</v>
      </c>
      <c r="I3" s="7">
        <f>$B3 * IFERROR(VLOOKUP("LULUCF|SO2|Infant mortality", US_national_yearly!$D:$AM, 17, FALSE) / VLOOKUP("LULUCF|SO2|Infant mortality", US_national_yearly!$D:$AM, 10, FALSE), 1)</f>
        <v>3.1473152260850267E-7</v>
      </c>
      <c r="J3" s="7">
        <f>$B3 * IFERROR(VLOOKUP("LULUCF|SO2|Infant mortality", US_national_yearly!$D:$AM, 18, FALSE) / VLOOKUP("LULUCF|SO2|Infant mortality", US_national_yearly!$D:$AM, 10, FALSE), 1)</f>
        <v>3.1274465249018418E-7</v>
      </c>
      <c r="K3" s="7">
        <f>$B3 * IFERROR(VLOOKUP("LULUCF|SO2|Infant mortality", US_national_yearly!$D:$AM, 19, FALSE) / VLOOKUP("LULUCF|SO2|Infant mortality", US_national_yearly!$D:$AM, 10, FALSE), 1)</f>
        <v>3.1075778237186569E-7</v>
      </c>
      <c r="L3" s="7">
        <f>$B3 * IFERROR(VLOOKUP("LULUCF|SO2|Infant mortality", US_national_yearly!$D:$AM, 20, FALSE) / VLOOKUP("LULUCF|SO2|Infant mortality", US_national_yearly!$D:$AM, 10, FALSE), 1)</f>
        <v>3.0877091225354725E-7</v>
      </c>
      <c r="M3" s="7">
        <f>$B3 * IFERROR(VLOOKUP("LULUCF|SO2|Infant mortality", US_national_yearly!$D:$AM, 21, FALSE) / VLOOKUP("LULUCF|SO2|Infant mortality", US_national_yearly!$D:$AM, 10, FALSE), 1)</f>
        <v>3.0678404213522875E-7</v>
      </c>
      <c r="N3" s="7">
        <f>$B3 * IFERROR(VLOOKUP("LULUCF|SO2|Infant mortality", US_national_yearly!$D:$AM, 22, FALSE) / VLOOKUP("LULUCF|SO2|Infant mortality", US_national_yearly!$D:$AM, 10, FALSE), 1)</f>
        <v>3.0553689863698571E-7</v>
      </c>
      <c r="O3" s="7">
        <f>$B3 * IFERROR(VLOOKUP("LULUCF|SO2|Infant mortality", US_national_yearly!$D:$AM, 23, FALSE) / VLOOKUP("LULUCF|SO2|Infant mortality", US_national_yearly!$D:$AM, 10, FALSE), 1)</f>
        <v>3.0428975513874267E-7</v>
      </c>
      <c r="P3" s="7">
        <f>$B3 * IFERROR(VLOOKUP("LULUCF|SO2|Infant mortality", US_national_yearly!$D:$AM, 24, FALSE) / VLOOKUP("LULUCF|SO2|Infant mortality", US_national_yearly!$D:$AM, 10, FALSE), 1)</f>
        <v>3.0304261164049957E-7</v>
      </c>
      <c r="Q3" s="7">
        <f>$B3 * IFERROR(VLOOKUP("LULUCF|SO2|Infant mortality", US_national_yearly!$D:$AM, 25, FALSE) / VLOOKUP("LULUCF|SO2|Infant mortality", US_national_yearly!$D:$AM, 10, FALSE), 1)</f>
        <v>3.0179546814225652E-7</v>
      </c>
      <c r="R3" s="7">
        <f>$B3 * IFERROR(VLOOKUP("LULUCF|SO2|Infant mortality", US_national_yearly!$D:$AM, 26, FALSE) / VLOOKUP("LULUCF|SO2|Infant mortality", US_national_yearly!$D:$AM, 10, FALSE), 1)</f>
        <v>3.0054832464401343E-7</v>
      </c>
      <c r="S3" s="7">
        <f>$B3 * IFERROR(VLOOKUP("LULUCF|SO2|Infant mortality", US_national_yearly!$D:$AM, 27, FALSE) / VLOOKUP("LULUCF|SO2|Infant mortality", US_national_yearly!$D:$AM, 10, FALSE), 1)</f>
        <v>2.9898246000436103E-7</v>
      </c>
      <c r="T3" s="7">
        <f>$B3 * IFERROR(VLOOKUP("LULUCF|SO2|Infant mortality", US_national_yearly!$D:$AM, 28, FALSE) / VLOOKUP("LULUCF|SO2|Infant mortality", US_national_yearly!$D:$AM, 10, FALSE), 1)</f>
        <v>2.9741659536470857E-7</v>
      </c>
      <c r="U3" s="7">
        <f>$B3 * IFERROR(VLOOKUP("LULUCF|SO2|Infant mortality", US_national_yearly!$D:$AM, 29, FALSE) / VLOOKUP("LULUCF|SO2|Infant mortality", US_national_yearly!$D:$AM, 10, FALSE), 1)</f>
        <v>2.9585073072505607E-7</v>
      </c>
      <c r="V3" s="7">
        <f>$B3 * IFERROR(VLOOKUP("LULUCF|SO2|Infant mortality", US_national_yearly!$D:$AM, 30, FALSE) / VLOOKUP("LULUCF|SO2|Infant mortality", US_national_yearly!$D:$AM, 10, FALSE), 1)</f>
        <v>2.9428486608540367E-7</v>
      </c>
      <c r="W3" s="7">
        <f>$B3 * IFERROR(VLOOKUP("LULUCF|SO2|Infant mortality", US_national_yearly!$D:$AM, 31, FALSE) / VLOOKUP("LULUCF|SO2|Infant mortality", US_national_yearly!$D:$AM, 10, FALSE), 1)</f>
        <v>2.9271900144575121E-7</v>
      </c>
      <c r="X3" s="7">
        <f>$B3 * IFERROR(VLOOKUP("LULUCF|SO2|Infant mortality", US_national_yearly!$D:$AM, 32, FALSE) / VLOOKUP("LULUCF|SO2|Infant mortality", US_national_yearly!$D:$AM, 10, FALSE), 1)</f>
        <v>2.9100702805592861E-7</v>
      </c>
      <c r="Y3" s="7">
        <f>$B3 * IFERROR(VLOOKUP("LULUCF|SO2|Infant mortality", US_national_yearly!$D:$AM, 33, FALSE) / VLOOKUP("LULUCF|SO2|Infant mortality", US_national_yearly!$D:$AM, 10, FALSE), 1)</f>
        <v>2.8929505466610595E-7</v>
      </c>
      <c r="Z3" s="7">
        <f>$B3 * IFERROR(VLOOKUP("LULUCF|SO2|Infant mortality", US_national_yearly!$D:$AM, 34, FALSE) / VLOOKUP("LULUCF|SO2|Infant mortality", US_national_yearly!$D:$AM, 10, FALSE), 1)</f>
        <v>2.8758308127628334E-7</v>
      </c>
      <c r="AA3" s="7">
        <f>$B3 * IFERROR(VLOOKUP("LULUCF|SO2|Infant mortality", US_national_yearly!$D:$AM, 35, FALSE) / VLOOKUP("LULUCF|SO2|Infant mortality", US_national_yearly!$D:$AM, 10, FALSE), 1)</f>
        <v>2.8587110788646069E-7</v>
      </c>
      <c r="AB3" s="7">
        <f>$B3 * IFERROR(VLOOKUP("LULUCF|SO2|Infant mortality", US_national_yearly!$D:$AM, 36, FALSE) / VLOOKUP("LULUCF|SO2|Infant mortality", US_national_yearly!$D:$AM, 10, FALSE), 1)</f>
        <v>2.8415913449663808E-7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1.1687446001744128E-3</v>
      </c>
      <c r="C6" s="7">
        <f>$B6 * IFERROR(VLOOKUP("LULUCF|SO2|Asthma symptoms cough", US_national_yearly!$D:$AM, 11, FALSE) / VLOOKUP("LULUCF|SO2|Asthma symptoms cough", US_national_yearly!$D:$AM, 10, FALSE), 1)</f>
        <v>1.1687446001744128E-3</v>
      </c>
      <c r="D6" s="7">
        <f>$B6 * IFERROR(VLOOKUP("LULUCF|SO2|Asthma symptoms cough", US_national_yearly!$D:$AM, 12, FALSE) / VLOOKUP("LULUCF|SO2|Asthma symptoms cough", US_national_yearly!$D:$AM, 10, FALSE), 1)</f>
        <v>1.1687446001744128E-3</v>
      </c>
      <c r="E6" s="7">
        <f>$B6 * IFERROR(VLOOKUP("LULUCF|SO2|Asthma symptoms cough", US_national_yearly!$D:$AM, 13, FALSE) / VLOOKUP("LULUCF|SO2|Asthma symptoms cough", US_national_yearly!$D:$AM, 10, FALSE), 1)</f>
        <v>1.1687446001744128E-3</v>
      </c>
      <c r="F6" s="7">
        <f>$B6 * IFERROR(VLOOKUP("LULUCF|SO2|Asthma symptoms cough", US_national_yearly!$D:$AM, 14, FALSE) / VLOOKUP("LULUCF|SO2|Asthma symptoms cough", US_national_yearly!$D:$AM, 10, FALSE), 1)</f>
        <v>1.1687446001744128E-3</v>
      </c>
      <c r="G6" s="7">
        <f>$B6 * IFERROR(VLOOKUP("LULUCF|SO2|Asthma symptoms cough", US_national_yearly!$D:$AM, 15, FALSE) / VLOOKUP("LULUCF|SO2|Asthma symptoms cough", US_national_yearly!$D:$AM, 10, FALSE), 1)</f>
        <v>1.1687446001744128E-3</v>
      </c>
      <c r="H6" s="7">
        <f>$B6 * IFERROR(VLOOKUP("LULUCF|SO2|Asthma symptoms cough", US_national_yearly!$D:$AM, 16, FALSE) / VLOOKUP("LULUCF|SO2|Asthma symptoms cough", US_national_yearly!$D:$AM, 10, FALSE), 1)</f>
        <v>1.1687446001744128E-3</v>
      </c>
      <c r="I6" s="7">
        <f>$B6 * IFERROR(VLOOKUP("LULUCF|SO2|Asthma symptoms cough", US_national_yearly!$D:$AM, 17, FALSE) / VLOOKUP("LULUCF|SO2|Asthma symptoms cough", US_national_yearly!$D:$AM, 10, FALSE), 1)</f>
        <v>1.1687446001744128E-3</v>
      </c>
      <c r="J6" s="7">
        <f>$B6 * IFERROR(VLOOKUP("LULUCF|SO2|Asthma symptoms cough", US_national_yearly!$D:$AM, 18, FALSE) / VLOOKUP("LULUCF|SO2|Asthma symptoms cough", US_national_yearly!$D:$AM, 10, FALSE), 1)</f>
        <v>1.1687446001744128E-3</v>
      </c>
      <c r="K6" s="7">
        <f>$B6 * IFERROR(VLOOKUP("LULUCF|SO2|Asthma symptoms cough", US_national_yearly!$D:$AM, 19, FALSE) / VLOOKUP("LULUCF|SO2|Asthma symptoms cough", US_national_yearly!$D:$AM, 10, FALSE), 1)</f>
        <v>1.1687446001744128E-3</v>
      </c>
      <c r="L6" s="7">
        <f>$B6 * IFERROR(VLOOKUP("LULUCF|SO2|Asthma symptoms cough", US_national_yearly!$D:$AM, 20, FALSE) / VLOOKUP("LULUCF|SO2|Asthma symptoms cough", US_national_yearly!$D:$AM, 10, FALSE), 1)</f>
        <v>1.1687446001744128E-3</v>
      </c>
      <c r="M6" s="7">
        <f>$B6 * IFERROR(VLOOKUP("LULUCF|SO2|Asthma symptoms cough", US_national_yearly!$D:$AM, 21, FALSE) / VLOOKUP("LULUCF|SO2|Asthma symptoms cough", US_national_yearly!$D:$AM, 10, FALSE), 1)</f>
        <v>1.1687446001744128E-3</v>
      </c>
      <c r="N6" s="7">
        <f>$B6 * IFERROR(VLOOKUP("LULUCF|SO2|Asthma symptoms cough", US_national_yearly!$D:$AM, 22, FALSE) / VLOOKUP("LULUCF|SO2|Asthma symptoms cough", US_national_yearly!$D:$AM, 10, FALSE), 1)</f>
        <v>1.1687446001744128E-3</v>
      </c>
      <c r="O6" s="7">
        <f>$B6 * IFERROR(VLOOKUP("LULUCF|SO2|Asthma symptoms cough", US_national_yearly!$D:$AM, 23, FALSE) / VLOOKUP("LULUCF|SO2|Asthma symptoms cough", US_national_yearly!$D:$AM, 10, FALSE), 1)</f>
        <v>1.1687446001744128E-3</v>
      </c>
      <c r="P6" s="7">
        <f>$B6 * IFERROR(VLOOKUP("LULUCF|SO2|Asthma symptoms cough", US_national_yearly!$D:$AM, 24, FALSE) / VLOOKUP("LULUCF|SO2|Asthma symptoms cough", US_national_yearly!$D:$AM, 10, FALSE), 1)</f>
        <v>1.1687446001744128E-3</v>
      </c>
      <c r="Q6" s="7">
        <f>$B6 * IFERROR(VLOOKUP("LULUCF|SO2|Asthma symptoms cough", US_national_yearly!$D:$AM, 25, FALSE) / VLOOKUP("LULUCF|SO2|Asthma symptoms cough", US_national_yearly!$D:$AM, 10, FALSE), 1)</f>
        <v>1.1687446001744128E-3</v>
      </c>
      <c r="R6" s="7">
        <f>$B6 * IFERROR(VLOOKUP("LULUCF|SO2|Asthma symptoms cough", US_national_yearly!$D:$AM, 26, FALSE) / VLOOKUP("LULUCF|SO2|Asthma symptoms cough", US_national_yearly!$D:$AM, 10, FALSE), 1)</f>
        <v>1.1687446001744128E-3</v>
      </c>
      <c r="S6" s="7">
        <f>$B6 * IFERROR(VLOOKUP("LULUCF|SO2|Asthma symptoms cough", US_national_yearly!$D:$AM, 27, FALSE) / VLOOKUP("LULUCF|SO2|Asthma symptoms cough", US_national_yearly!$D:$AM, 10, FALSE), 1)</f>
        <v>1.1687446001744128E-3</v>
      </c>
      <c r="T6" s="7">
        <f>$B6 * IFERROR(VLOOKUP("LULUCF|SO2|Asthma symptoms cough", US_national_yearly!$D:$AM, 28, FALSE) / VLOOKUP("LULUCF|SO2|Asthma symptoms cough", US_national_yearly!$D:$AM, 10, FALSE), 1)</f>
        <v>1.1687446001744128E-3</v>
      </c>
      <c r="U6" s="7">
        <f>$B6 * IFERROR(VLOOKUP("LULUCF|SO2|Asthma symptoms cough", US_national_yearly!$D:$AM, 29, FALSE) / VLOOKUP("LULUCF|SO2|Asthma symptoms cough", US_national_yearly!$D:$AM, 10, FALSE), 1)</f>
        <v>1.1687446001744128E-3</v>
      </c>
      <c r="V6" s="7">
        <f>$B6 * IFERROR(VLOOKUP("LULUCF|SO2|Asthma symptoms cough", US_national_yearly!$D:$AM, 30, FALSE) / VLOOKUP("LULUCF|SO2|Asthma symptoms cough", US_national_yearly!$D:$AM, 10, FALSE), 1)</f>
        <v>1.1687446001744128E-3</v>
      </c>
      <c r="W6" s="7">
        <f>$B6 * IFERROR(VLOOKUP("LULUCF|SO2|Asthma symptoms cough", US_national_yearly!$D:$AM, 31, FALSE) / VLOOKUP("LULUCF|SO2|Asthma symptoms cough", US_national_yearly!$D:$AM, 10, FALSE), 1)</f>
        <v>1.1687446001744128E-3</v>
      </c>
      <c r="X6" s="7">
        <f>$B6 * IFERROR(VLOOKUP("LULUCF|SO2|Asthma symptoms cough", US_national_yearly!$D:$AM, 32, FALSE) / VLOOKUP("LULUCF|SO2|Asthma symptoms cough", US_national_yearly!$D:$AM, 10, FALSE), 1)</f>
        <v>1.1687446001744128E-3</v>
      </c>
      <c r="Y6" s="7">
        <f>$B6 * IFERROR(VLOOKUP("LULUCF|SO2|Asthma symptoms cough", US_national_yearly!$D:$AM, 33, FALSE) / VLOOKUP("LULUCF|SO2|Asthma symptoms cough", US_national_yearly!$D:$AM, 10, FALSE), 1)</f>
        <v>1.1687446001744128E-3</v>
      </c>
      <c r="Z6" s="7">
        <f>$B6 * IFERROR(VLOOKUP("LULUCF|SO2|Asthma symptoms cough", US_national_yearly!$D:$AM, 34, FALSE) / VLOOKUP("LULUCF|SO2|Asthma symptoms cough", US_national_yearly!$D:$AM, 10, FALSE), 1)</f>
        <v>1.1687446001744128E-3</v>
      </c>
      <c r="AA6" s="7">
        <f>$B6 * IFERROR(VLOOKUP("LULUCF|SO2|Asthma symptoms cough", US_national_yearly!$D:$AM, 35, FALSE) / VLOOKUP("LULUCF|SO2|Asthma symptoms cough", US_national_yearly!$D:$AM, 10, FALSE), 1)</f>
        <v>1.1687446001744128E-3</v>
      </c>
      <c r="AB6" s="7">
        <f>$B6 * IFERROR(VLOOKUP("LULUCF|SO2|Asthma symptoms cough", US_national_yearly!$D:$AM, 36, FALSE) / VLOOKUP("LULUCF|SO2|Asthma symptoms cough", US_national_yearly!$D:$AM, 10, FALSE), 1)</f>
        <v>1.1687446001744128E-3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1.5738737993722448E-3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1.5738737993722448E-3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1.5738737993722448E-3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1.5738737993722448E-3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1.5738737993722448E-3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1.5738737993722448E-3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1.5738737993722448E-3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1.5738737993722448E-3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1.5738737993722448E-3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1.5738737993722448E-3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1.5738737993722448E-3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1.5738737993722448E-3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1.5738737993722448E-3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1.5738737993722448E-3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1.5738737993722448E-3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1.5738737993722448E-3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1.5738737993722448E-3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1.5738737993722448E-3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1.5738737993722448E-3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1.5738737993722448E-3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1.5738737993722448E-3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1.5738737993722448E-3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1.5738737993722448E-3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1.5738737993722448E-3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1.5738737993722448E-3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1.5738737993722448E-3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1.5738737993722448E-3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2.404649505445593E-3</v>
      </c>
      <c r="C8" s="7">
        <f>$B8 * IFERROR(VLOOKUP("LULUCF|SO2|Asthma symptoms wheeze", US_national_yearly!$D:$AM, 11, FALSE) / VLOOKUP("LULUCF|SO2|Asthma symptoms wheeze", US_national_yearly!$D:$AM, 10, FALSE), 1)</f>
        <v>2.404649505445593E-3</v>
      </c>
      <c r="D8" s="7">
        <f>$B8 * IFERROR(VLOOKUP("LULUCF|SO2|Asthma symptoms wheeze", US_national_yearly!$D:$AM, 12, FALSE) / VLOOKUP("LULUCF|SO2|Asthma symptoms wheeze", US_national_yearly!$D:$AM, 10, FALSE), 1)</f>
        <v>2.404649505445593E-3</v>
      </c>
      <c r="E8" s="7">
        <f>$B8 * IFERROR(VLOOKUP("LULUCF|SO2|Asthma symptoms wheeze", US_national_yearly!$D:$AM, 13, FALSE) / VLOOKUP("LULUCF|SO2|Asthma symptoms wheeze", US_national_yearly!$D:$AM, 10, FALSE), 1)</f>
        <v>2.404649505445593E-3</v>
      </c>
      <c r="F8" s="7">
        <f>$B8 * IFERROR(VLOOKUP("LULUCF|SO2|Asthma symptoms wheeze", US_national_yearly!$D:$AM, 14, FALSE) / VLOOKUP("LULUCF|SO2|Asthma symptoms wheeze", US_national_yearly!$D:$AM, 10, FALSE), 1)</f>
        <v>2.404649505445593E-3</v>
      </c>
      <c r="G8" s="7">
        <f>$B8 * IFERROR(VLOOKUP("LULUCF|SO2|Asthma symptoms wheeze", US_national_yearly!$D:$AM, 15, FALSE) / VLOOKUP("LULUCF|SO2|Asthma symptoms wheeze", US_national_yearly!$D:$AM, 10, FALSE), 1)</f>
        <v>2.404649505445593E-3</v>
      </c>
      <c r="H8" s="7">
        <f>$B8 * IFERROR(VLOOKUP("LULUCF|SO2|Asthma symptoms wheeze", US_national_yearly!$D:$AM, 16, FALSE) / VLOOKUP("LULUCF|SO2|Asthma symptoms wheeze", US_national_yearly!$D:$AM, 10, FALSE), 1)</f>
        <v>2.404649505445593E-3</v>
      </c>
      <c r="I8" s="7">
        <f>$B8 * IFERROR(VLOOKUP("LULUCF|SO2|Asthma symptoms wheeze", US_national_yearly!$D:$AM, 17, FALSE) / VLOOKUP("LULUCF|SO2|Asthma symptoms wheeze", US_national_yearly!$D:$AM, 10, FALSE), 1)</f>
        <v>2.404649505445593E-3</v>
      </c>
      <c r="J8" s="7">
        <f>$B8 * IFERROR(VLOOKUP("LULUCF|SO2|Asthma symptoms wheeze", US_national_yearly!$D:$AM, 18, FALSE) / VLOOKUP("LULUCF|SO2|Asthma symptoms wheeze", US_national_yearly!$D:$AM, 10, FALSE), 1)</f>
        <v>2.404649505445593E-3</v>
      </c>
      <c r="K8" s="7">
        <f>$B8 * IFERROR(VLOOKUP("LULUCF|SO2|Asthma symptoms wheeze", US_national_yearly!$D:$AM, 19, FALSE) / VLOOKUP("LULUCF|SO2|Asthma symptoms wheeze", US_national_yearly!$D:$AM, 10, FALSE), 1)</f>
        <v>2.404649505445593E-3</v>
      </c>
      <c r="L8" s="7">
        <f>$B8 * IFERROR(VLOOKUP("LULUCF|SO2|Asthma symptoms wheeze", US_national_yearly!$D:$AM, 20, FALSE) / VLOOKUP("LULUCF|SO2|Asthma symptoms wheeze", US_national_yearly!$D:$AM, 10, FALSE), 1)</f>
        <v>2.404649505445593E-3</v>
      </c>
      <c r="M8" s="7">
        <f>$B8 * IFERROR(VLOOKUP("LULUCF|SO2|Asthma symptoms wheeze", US_national_yearly!$D:$AM, 21, FALSE) / VLOOKUP("LULUCF|SO2|Asthma symptoms wheeze", US_national_yearly!$D:$AM, 10, FALSE), 1)</f>
        <v>2.404649505445593E-3</v>
      </c>
      <c r="N8" s="7">
        <f>$B8 * IFERROR(VLOOKUP("LULUCF|SO2|Asthma symptoms wheeze", US_national_yearly!$D:$AM, 22, FALSE) / VLOOKUP("LULUCF|SO2|Asthma symptoms wheeze", US_national_yearly!$D:$AM, 10, FALSE), 1)</f>
        <v>2.404649505445593E-3</v>
      </c>
      <c r="O8" s="7">
        <f>$B8 * IFERROR(VLOOKUP("LULUCF|SO2|Asthma symptoms wheeze", US_national_yearly!$D:$AM, 23, FALSE) / VLOOKUP("LULUCF|SO2|Asthma symptoms wheeze", US_national_yearly!$D:$AM, 10, FALSE), 1)</f>
        <v>2.404649505445593E-3</v>
      </c>
      <c r="P8" s="7">
        <f>$B8 * IFERROR(VLOOKUP("LULUCF|SO2|Asthma symptoms wheeze", US_national_yearly!$D:$AM, 24, FALSE) / VLOOKUP("LULUCF|SO2|Asthma symptoms wheeze", US_national_yearly!$D:$AM, 10, FALSE), 1)</f>
        <v>2.404649505445593E-3</v>
      </c>
      <c r="Q8" s="7">
        <f>$B8 * IFERROR(VLOOKUP("LULUCF|SO2|Asthma symptoms wheeze", US_national_yearly!$D:$AM, 25, FALSE) / VLOOKUP("LULUCF|SO2|Asthma symptoms wheeze", US_national_yearly!$D:$AM, 10, FALSE), 1)</f>
        <v>2.404649505445593E-3</v>
      </c>
      <c r="R8" s="7">
        <f>$B8 * IFERROR(VLOOKUP("LULUCF|SO2|Asthma symptoms wheeze", US_national_yearly!$D:$AM, 26, FALSE) / VLOOKUP("LULUCF|SO2|Asthma symptoms wheeze", US_national_yearly!$D:$AM, 10, FALSE), 1)</f>
        <v>2.404649505445593E-3</v>
      </c>
      <c r="S8" s="7">
        <f>$B8 * IFERROR(VLOOKUP("LULUCF|SO2|Asthma symptoms wheeze", US_national_yearly!$D:$AM, 27, FALSE) / VLOOKUP("LULUCF|SO2|Asthma symptoms wheeze", US_national_yearly!$D:$AM, 10, FALSE), 1)</f>
        <v>2.404649505445593E-3</v>
      </c>
      <c r="T8" s="7">
        <f>$B8 * IFERROR(VLOOKUP("LULUCF|SO2|Asthma symptoms wheeze", US_national_yearly!$D:$AM, 28, FALSE) / VLOOKUP("LULUCF|SO2|Asthma symptoms wheeze", US_national_yearly!$D:$AM, 10, FALSE), 1)</f>
        <v>2.404649505445593E-3</v>
      </c>
      <c r="U8" s="7">
        <f>$B8 * IFERROR(VLOOKUP("LULUCF|SO2|Asthma symptoms wheeze", US_national_yearly!$D:$AM, 29, FALSE) / VLOOKUP("LULUCF|SO2|Asthma symptoms wheeze", US_national_yearly!$D:$AM, 10, FALSE), 1)</f>
        <v>2.404649505445593E-3</v>
      </c>
      <c r="V8" s="7">
        <f>$B8 * IFERROR(VLOOKUP("LULUCF|SO2|Asthma symptoms wheeze", US_national_yearly!$D:$AM, 30, FALSE) / VLOOKUP("LULUCF|SO2|Asthma symptoms wheeze", US_national_yearly!$D:$AM, 10, FALSE), 1)</f>
        <v>2.404649505445593E-3</v>
      </c>
      <c r="W8" s="7">
        <f>$B8 * IFERROR(VLOOKUP("LULUCF|SO2|Asthma symptoms wheeze", US_national_yearly!$D:$AM, 31, FALSE) / VLOOKUP("LULUCF|SO2|Asthma symptoms wheeze", US_national_yearly!$D:$AM, 10, FALSE), 1)</f>
        <v>2.404649505445593E-3</v>
      </c>
      <c r="X8" s="7">
        <f>$B8 * IFERROR(VLOOKUP("LULUCF|SO2|Asthma symptoms wheeze", US_national_yearly!$D:$AM, 32, FALSE) / VLOOKUP("LULUCF|SO2|Asthma symptoms wheeze", US_national_yearly!$D:$AM, 10, FALSE), 1)</f>
        <v>2.404649505445593E-3</v>
      </c>
      <c r="Y8" s="7">
        <f>$B8 * IFERROR(VLOOKUP("LULUCF|SO2|Asthma symptoms wheeze", US_national_yearly!$D:$AM, 33, FALSE) / VLOOKUP("LULUCF|SO2|Asthma symptoms wheeze", US_national_yearly!$D:$AM, 10, FALSE), 1)</f>
        <v>2.404649505445593E-3</v>
      </c>
      <c r="Z8" s="7">
        <f>$B8 * IFERROR(VLOOKUP("LULUCF|SO2|Asthma symptoms wheeze", US_national_yearly!$D:$AM, 34, FALSE) / VLOOKUP("LULUCF|SO2|Asthma symptoms wheeze", US_national_yearly!$D:$AM, 10, FALSE), 1)</f>
        <v>2.404649505445593E-3</v>
      </c>
      <c r="AA8" s="7">
        <f>$B8 * IFERROR(VLOOKUP("LULUCF|SO2|Asthma symptoms wheeze", US_national_yearly!$D:$AM, 35, FALSE) / VLOOKUP("LULUCF|SO2|Asthma symptoms wheeze", US_national_yearly!$D:$AM, 10, FALSE), 1)</f>
        <v>2.404649505445593E-3</v>
      </c>
      <c r="AB8" s="7">
        <f>$B8 * IFERROR(VLOOKUP("LULUCF|SO2|Asthma symptoms wheeze", US_national_yearly!$D:$AM, 36, FALSE) / VLOOKUP("LULUCF|SO2|Asthma symptoms wheeze", US_national_yearly!$D:$AM, 10, FALSE), 1)</f>
        <v>2.404649505445593E-3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2.5465833119077999E-5</v>
      </c>
      <c r="C12" s="7">
        <f>$B12 * IFERROR(VLOOKUP("LULUCF|SO2|Respiratory hospital admissions", US_national_yearly!$D:$AM, 11, FALSE) / VLOOKUP("LULUCF|SO2|Respiratory hospital admissions", US_national_yearly!$D:$AM, 10, FALSE), 1)</f>
        <v>2.5616031868336339E-5</v>
      </c>
      <c r="D12" s="7">
        <f>$B12 * IFERROR(VLOOKUP("LULUCF|SO2|Respiratory hospital admissions", US_national_yearly!$D:$AM, 12, FALSE) / VLOOKUP("LULUCF|SO2|Respiratory hospital admissions", US_national_yearly!$D:$AM, 10, FALSE), 1)</f>
        <v>2.5766230617594676E-5</v>
      </c>
      <c r="E12" s="7">
        <f>$B12 * IFERROR(VLOOKUP("LULUCF|SO2|Respiratory hospital admissions", US_national_yearly!$D:$AM, 13, FALSE) / VLOOKUP("LULUCF|SO2|Respiratory hospital admissions", US_national_yearly!$D:$AM, 10, FALSE), 1)</f>
        <v>2.5916429366853016E-5</v>
      </c>
      <c r="F12" s="7">
        <f>$B12 * IFERROR(VLOOKUP("LULUCF|SO2|Respiratory hospital admissions", US_national_yearly!$D:$AM, 14, FALSE) / VLOOKUP("LULUCF|SO2|Respiratory hospital admissions", US_national_yearly!$D:$AM, 10, FALSE), 1)</f>
        <v>2.6066628116111356E-5</v>
      </c>
      <c r="G12" s="7">
        <f>$B12 * IFERROR(VLOOKUP("LULUCF|SO2|Respiratory hospital admissions", US_national_yearly!$D:$AM, 15, FALSE) / VLOOKUP("LULUCF|SO2|Respiratory hospital admissions", US_national_yearly!$D:$AM, 10, FALSE), 1)</f>
        <v>2.623037008697539E-5</v>
      </c>
      <c r="H12" s="7">
        <f>$B12 * IFERROR(VLOOKUP("LULUCF|SO2|Respiratory hospital admissions", US_national_yearly!$D:$AM, 16, FALSE) / VLOOKUP("LULUCF|SO2|Respiratory hospital admissions", US_national_yearly!$D:$AM, 10, FALSE), 1)</f>
        <v>2.6394112057839423E-5</v>
      </c>
      <c r="I12" s="7">
        <f>$B12 * IFERROR(VLOOKUP("LULUCF|SO2|Respiratory hospital admissions", US_national_yearly!$D:$AM, 17, FALSE) / VLOOKUP("LULUCF|SO2|Respiratory hospital admissions", US_national_yearly!$D:$AM, 10, FALSE), 1)</f>
        <v>2.6555581136906747E-5</v>
      </c>
      <c r="J12" s="7">
        <f>$B12 * IFERROR(VLOOKUP("LULUCF|SO2|Respiratory hospital admissions", US_national_yearly!$D:$AM, 18, FALSE) / VLOOKUP("LULUCF|SO2|Respiratory hospital admissions", US_national_yearly!$D:$AM, 10, FALSE), 1)</f>
        <v>2.6717050215974074E-5</v>
      </c>
      <c r="K12" s="7">
        <f>$B12 * IFERROR(VLOOKUP("LULUCF|SO2|Respiratory hospital admissions", US_national_yearly!$D:$AM, 19, FALSE) / VLOOKUP("LULUCF|SO2|Respiratory hospital admissions", US_national_yearly!$D:$AM, 10, FALSE), 1)</f>
        <v>2.6878519295041392E-5</v>
      </c>
      <c r="L12" s="7">
        <f>$B12 * IFERROR(VLOOKUP("LULUCF|SO2|Respiratory hospital admissions", US_national_yearly!$D:$AM, 20, FALSE) / VLOOKUP("LULUCF|SO2|Respiratory hospital admissions", US_national_yearly!$D:$AM, 10, FALSE), 1)</f>
        <v>2.7039988374108722E-5</v>
      </c>
      <c r="M12" s="7">
        <f>$B12 * IFERROR(VLOOKUP("LULUCF|SO2|Respiratory hospital admissions", US_national_yearly!$D:$AM, 21, FALSE) / VLOOKUP("LULUCF|SO2|Respiratory hospital admissions", US_national_yearly!$D:$AM, 10, FALSE), 1)</f>
        <v>2.720145745317604E-5</v>
      </c>
      <c r="N12" s="7">
        <f>$B12 * IFERROR(VLOOKUP("LULUCF|SO2|Respiratory hospital admissions", US_national_yearly!$D:$AM, 22, FALSE) / VLOOKUP("LULUCF|SO2|Respiratory hospital admissions", US_national_yearly!$D:$AM, 10, FALSE), 1)</f>
        <v>2.7319324896571151E-5</v>
      </c>
      <c r="O12" s="7">
        <f>$B12 * IFERROR(VLOOKUP("LULUCF|SO2|Respiratory hospital admissions", US_national_yearly!$D:$AM, 23, FALSE) / VLOOKUP("LULUCF|SO2|Respiratory hospital admissions", US_national_yearly!$D:$AM, 10, FALSE), 1)</f>
        <v>2.7437192339966255E-5</v>
      </c>
      <c r="P12" s="7">
        <f>$B12 * IFERROR(VLOOKUP("LULUCF|SO2|Respiratory hospital admissions", US_national_yearly!$D:$AM, 24, FALSE) / VLOOKUP("LULUCF|SO2|Respiratory hospital admissions", US_national_yearly!$D:$AM, 10, FALSE), 1)</f>
        <v>2.755505978336136E-5</v>
      </c>
      <c r="Q12" s="7">
        <f>$B12 * IFERROR(VLOOKUP("LULUCF|SO2|Respiratory hospital admissions", US_national_yearly!$D:$AM, 25, FALSE) / VLOOKUP("LULUCF|SO2|Respiratory hospital admissions", US_national_yearly!$D:$AM, 10, FALSE), 1)</f>
        <v>2.7672927226756471E-5</v>
      </c>
      <c r="R12" s="7">
        <f>$B12 * IFERROR(VLOOKUP("LULUCF|SO2|Respiratory hospital admissions", US_national_yearly!$D:$AM, 26, FALSE) / VLOOKUP("LULUCF|SO2|Respiratory hospital admissions", US_national_yearly!$D:$AM, 10, FALSE), 1)</f>
        <v>2.7790794670151575E-5</v>
      </c>
      <c r="S12" s="7">
        <f>$B12 * IFERROR(VLOOKUP("LULUCF|SO2|Respiratory hospital admissions", US_national_yearly!$D:$AM, 27, FALSE) / VLOOKUP("LULUCF|SO2|Respiratory hospital admissions", US_national_yearly!$D:$AM, 10, FALSE), 1)</f>
        <v>2.79032312176108E-5</v>
      </c>
      <c r="T12" s="7">
        <f>$B12 * IFERROR(VLOOKUP("LULUCF|SO2|Respiratory hospital admissions", US_national_yearly!$D:$AM, 28, FALSE) / VLOOKUP("LULUCF|SO2|Respiratory hospital admissions", US_national_yearly!$D:$AM, 10, FALSE), 1)</f>
        <v>2.8015667765070017E-5</v>
      </c>
      <c r="U12" s="7">
        <f>$B12 * IFERROR(VLOOKUP("LULUCF|SO2|Respiratory hospital admissions", US_national_yearly!$D:$AM, 29, FALSE) / VLOOKUP("LULUCF|SO2|Respiratory hospital admissions", US_national_yearly!$D:$AM, 10, FALSE), 1)</f>
        <v>2.8128104312529242E-5</v>
      </c>
      <c r="V12" s="7">
        <f>$B12 * IFERROR(VLOOKUP("LULUCF|SO2|Respiratory hospital admissions", US_national_yearly!$D:$AM, 30, FALSE) / VLOOKUP("LULUCF|SO2|Respiratory hospital admissions", US_national_yearly!$D:$AM, 10, FALSE), 1)</f>
        <v>2.8240540859988466E-5</v>
      </c>
      <c r="W12" s="7">
        <f>$B12 * IFERROR(VLOOKUP("LULUCF|SO2|Respiratory hospital admissions", US_national_yearly!$D:$AM, 31, FALSE) / VLOOKUP("LULUCF|SO2|Respiratory hospital admissions", US_national_yearly!$D:$AM, 10, FALSE), 1)</f>
        <v>2.8352977407447688E-5</v>
      </c>
      <c r="X12" s="7">
        <f>$B12 * IFERROR(VLOOKUP("LULUCF|SO2|Respiratory hospital admissions", US_national_yearly!$D:$AM, 32, FALSE) / VLOOKUP("LULUCF|SO2|Respiratory hospital admissions", US_national_yearly!$D:$AM, 10, FALSE), 1)</f>
        <v>2.8459661231099161E-5</v>
      </c>
      <c r="Y12" s="7">
        <f>$B12 * IFERROR(VLOOKUP("LULUCF|SO2|Respiratory hospital admissions", US_national_yearly!$D:$AM, 33, FALSE) / VLOOKUP("LULUCF|SO2|Respiratory hospital admissions", US_national_yearly!$D:$AM, 10, FALSE), 1)</f>
        <v>2.8566345054750635E-5</v>
      </c>
      <c r="Z12" s="7">
        <f>$B12 * IFERROR(VLOOKUP("LULUCF|SO2|Respiratory hospital admissions", US_national_yearly!$D:$AM, 34, FALSE) / VLOOKUP("LULUCF|SO2|Respiratory hospital admissions", US_national_yearly!$D:$AM, 10, FALSE), 1)</f>
        <v>2.8673028878402109E-5</v>
      </c>
      <c r="AA12" s="7">
        <f>$B12 * IFERROR(VLOOKUP("LULUCF|SO2|Respiratory hospital admissions", US_national_yearly!$D:$AM, 35, FALSE) / VLOOKUP("LULUCF|SO2|Respiratory hospital admissions", US_national_yearly!$D:$AM, 10, FALSE), 1)</f>
        <v>2.8779712702053583E-5</v>
      </c>
      <c r="AB12" s="7">
        <f>$B12 * IFERROR(VLOOKUP("LULUCF|SO2|Respiratory hospital admissions", US_national_yearly!$D:$AM, 36, FALSE) / VLOOKUP("LULUCF|SO2|Respiratory hospital admissions", US_national_yearly!$D:$AM, 10, FALSE), 1)</f>
        <v>2.888639652570506E-5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1.7850008910382754E-4</v>
      </c>
      <c r="C13" s="7">
        <f>$B13 * IFERROR(VLOOKUP("LULUCF|SO2|Non-fatal heart attacks", US_national_yearly!$D:$AM, 11, FALSE) / VLOOKUP("LULUCF|SO2|Non-fatal heart attacks", US_national_yearly!$D:$AM, 10, FALSE), 1)</f>
        <v>1.8374020337204287E-4</v>
      </c>
      <c r="D13" s="7">
        <f>$B13 * IFERROR(VLOOKUP("LULUCF|SO2|Non-fatal heart attacks", US_national_yearly!$D:$AM, 12, FALSE) / VLOOKUP("LULUCF|SO2|Non-fatal heart attacks", US_national_yearly!$D:$AM, 10, FALSE), 1)</f>
        <v>1.8898031764025822E-4</v>
      </c>
      <c r="E13" s="7">
        <f>$B13 * IFERROR(VLOOKUP("LULUCF|SO2|Non-fatal heart attacks", US_national_yearly!$D:$AM, 13, FALSE) / VLOOKUP("LULUCF|SO2|Non-fatal heart attacks", US_national_yearly!$D:$AM, 10, FALSE), 1)</f>
        <v>1.9422043190847355E-4</v>
      </c>
      <c r="F13" s="7">
        <f>$B13 * IFERROR(VLOOKUP("LULUCF|SO2|Non-fatal heart attacks", US_national_yearly!$D:$AM, 14, FALSE) / VLOOKUP("LULUCF|SO2|Non-fatal heart attacks", US_national_yearly!$D:$AM, 10, FALSE), 1)</f>
        <v>1.9946054617668886E-4</v>
      </c>
      <c r="G13" s="7">
        <f>$B13 * IFERROR(VLOOKUP("LULUCF|SO2|Non-fatal heart attacks", US_national_yearly!$D:$AM, 15, FALSE) / VLOOKUP("LULUCF|SO2|Non-fatal heart attacks", US_national_yearly!$D:$AM, 10, FALSE), 1)</f>
        <v>2.0440245998190701E-4</v>
      </c>
      <c r="H13" s="7">
        <f>$B13 * IFERROR(VLOOKUP("LULUCF|SO2|Non-fatal heart attacks", US_national_yearly!$D:$AM, 16, FALSE) / VLOOKUP("LULUCF|SO2|Non-fatal heart attacks", US_national_yearly!$D:$AM, 10, FALSE), 1)</f>
        <v>2.093443737871252E-4</v>
      </c>
      <c r="I13" s="7">
        <f>$B13 * IFERROR(VLOOKUP("LULUCF|SO2|Non-fatal heart attacks", US_national_yearly!$D:$AM, 17, FALSE) / VLOOKUP("LULUCF|SO2|Non-fatal heart attacks", US_national_yearly!$D:$AM, 10, FALSE), 1)</f>
        <v>2.1332106518199775E-4</v>
      </c>
      <c r="J13" s="7">
        <f>$B13 * IFERROR(VLOOKUP("LULUCF|SO2|Non-fatal heart attacks", US_national_yearly!$D:$AM, 18, FALSE) / VLOOKUP("LULUCF|SO2|Non-fatal heart attacks", US_national_yearly!$D:$AM, 10, FALSE), 1)</f>
        <v>2.1729775657687036E-4</v>
      </c>
      <c r="K13" s="7">
        <f>$B13 * IFERROR(VLOOKUP("LULUCF|SO2|Non-fatal heart attacks", US_national_yearly!$D:$AM, 19, FALSE) / VLOOKUP("LULUCF|SO2|Non-fatal heart attacks", US_national_yearly!$D:$AM, 10, FALSE), 1)</f>
        <v>2.2127444797174291E-4</v>
      </c>
      <c r="L13" s="7">
        <f>$B13 * IFERROR(VLOOKUP("LULUCF|SO2|Non-fatal heart attacks", US_national_yearly!$D:$AM, 20, FALSE) / VLOOKUP("LULUCF|SO2|Non-fatal heart attacks", US_national_yearly!$D:$AM, 10, FALSE), 1)</f>
        <v>2.2525113936661554E-4</v>
      </c>
      <c r="M13" s="7">
        <f>$B13 * IFERROR(VLOOKUP("LULUCF|SO2|Non-fatal heart attacks", US_national_yearly!$D:$AM, 21, FALSE) / VLOOKUP("LULUCF|SO2|Non-fatal heart attacks", US_national_yearly!$D:$AM, 10, FALSE), 1)</f>
        <v>2.2922783076148815E-4</v>
      </c>
      <c r="N13" s="7">
        <f>$B13 * IFERROR(VLOOKUP("LULUCF|SO2|Non-fatal heart attacks", US_national_yearly!$D:$AM, 22, FALSE) / VLOOKUP("LULUCF|SO2|Non-fatal heart attacks", US_national_yearly!$D:$AM, 10, FALSE), 1)</f>
        <v>2.3180994452898527E-4</v>
      </c>
      <c r="O13" s="7">
        <f>$B13 * IFERROR(VLOOKUP("LULUCF|SO2|Non-fatal heart attacks", US_national_yearly!$D:$AM, 23, FALSE) / VLOOKUP("LULUCF|SO2|Non-fatal heart attacks", US_national_yearly!$D:$AM, 10, FALSE), 1)</f>
        <v>2.3439205829648246E-4</v>
      </c>
      <c r="P13" s="7">
        <f>$B13 * IFERROR(VLOOKUP("LULUCF|SO2|Non-fatal heart attacks", US_national_yearly!$D:$AM, 24, FALSE) / VLOOKUP("LULUCF|SO2|Non-fatal heart attacks", US_national_yearly!$D:$AM, 10, FALSE), 1)</f>
        <v>2.3697417206397967E-4</v>
      </c>
      <c r="Q13" s="7">
        <f>$B13 * IFERROR(VLOOKUP("LULUCF|SO2|Non-fatal heart attacks", US_national_yearly!$D:$AM, 25, FALSE) / VLOOKUP("LULUCF|SO2|Non-fatal heart attacks", US_national_yearly!$D:$AM, 10, FALSE), 1)</f>
        <v>2.3955628583147682E-4</v>
      </c>
      <c r="R13" s="7">
        <f>$B13 * IFERROR(VLOOKUP("LULUCF|SO2|Non-fatal heart attacks", US_national_yearly!$D:$AM, 26, FALSE) / VLOOKUP("LULUCF|SO2|Non-fatal heart attacks", US_national_yearly!$D:$AM, 10, FALSE), 1)</f>
        <v>2.4213839959897398E-4</v>
      </c>
      <c r="S13" s="7">
        <f>$B13 * IFERROR(VLOOKUP("LULUCF|SO2|Non-fatal heart attacks", US_national_yearly!$D:$AM, 27, FALSE) / VLOOKUP("LULUCF|SO2|Non-fatal heart attacks", US_national_yearly!$D:$AM, 10, FALSE), 1)</f>
        <v>2.4348650667313902E-4</v>
      </c>
      <c r="T13" s="7">
        <f>$B13 * IFERROR(VLOOKUP("LULUCF|SO2|Non-fatal heart attacks", US_national_yearly!$D:$AM, 28, FALSE) / VLOOKUP("LULUCF|SO2|Non-fatal heart attacks", US_national_yearly!$D:$AM, 10, FALSE), 1)</f>
        <v>2.448346137473041E-4</v>
      </c>
      <c r="U13" s="7">
        <f>$B13 * IFERROR(VLOOKUP("LULUCF|SO2|Non-fatal heart attacks", US_national_yearly!$D:$AM, 29, FALSE) / VLOOKUP("LULUCF|SO2|Non-fatal heart attacks", US_national_yearly!$D:$AM, 10, FALSE), 1)</f>
        <v>2.4618272082146909E-4</v>
      </c>
      <c r="V13" s="7">
        <f>$B13 * IFERROR(VLOOKUP("LULUCF|SO2|Non-fatal heart attacks", US_national_yearly!$D:$AM, 30, FALSE) / VLOOKUP("LULUCF|SO2|Non-fatal heart attacks", US_national_yearly!$D:$AM, 10, FALSE), 1)</f>
        <v>2.4753082789563408E-4</v>
      </c>
      <c r="W13" s="7">
        <f>$B13 * IFERROR(VLOOKUP("LULUCF|SO2|Non-fatal heart attacks", US_national_yearly!$D:$AM, 31, FALSE) / VLOOKUP("LULUCF|SO2|Non-fatal heart attacks", US_national_yearly!$D:$AM, 10, FALSE), 1)</f>
        <v>2.4887893496979918E-4</v>
      </c>
      <c r="X13" s="7">
        <f>$B13 * IFERROR(VLOOKUP("LULUCF|SO2|Non-fatal heart attacks", US_national_yearly!$D:$AM, 32, FALSE) / VLOOKUP("LULUCF|SO2|Non-fatal heart attacks", US_national_yearly!$D:$AM, 10, FALSE), 1)</f>
        <v>2.498966378866762E-4</v>
      </c>
      <c r="Y13" s="7">
        <f>$B13 * IFERROR(VLOOKUP("LULUCF|SO2|Non-fatal heart attacks", US_national_yearly!$D:$AM, 33, FALSE) / VLOOKUP("LULUCF|SO2|Non-fatal heart attacks", US_national_yearly!$D:$AM, 10, FALSE), 1)</f>
        <v>2.5091434080355321E-4</v>
      </c>
      <c r="Z13" s="7">
        <f>$B13 * IFERROR(VLOOKUP("LULUCF|SO2|Non-fatal heart attacks", US_national_yearly!$D:$AM, 34, FALSE) / VLOOKUP("LULUCF|SO2|Non-fatal heart attacks", US_national_yearly!$D:$AM, 10, FALSE), 1)</f>
        <v>2.5193204372043023E-4</v>
      </c>
      <c r="AA13" s="7">
        <f>$B13 * IFERROR(VLOOKUP("LULUCF|SO2|Non-fatal heart attacks", US_national_yearly!$D:$AM, 35, FALSE) / VLOOKUP("LULUCF|SO2|Non-fatal heart attacks", US_national_yearly!$D:$AM, 10, FALSE), 1)</f>
        <v>2.5294974663730724E-4</v>
      </c>
      <c r="AB13" s="7">
        <f>$B13 * IFERROR(VLOOKUP("LULUCF|SO2|Non-fatal heart attacks", US_national_yearly!$D:$AM, 36, FALSE) / VLOOKUP("LULUCF|SO2|Non-fatal heart attacks", US_national_yearly!$D:$AM, 10, FALSE), 1)</f>
        <v>2.5396744955418426E-4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0.14310202830414645</v>
      </c>
      <c r="C14" s="7">
        <f>$B14 * IFERROR(VLOOKUP("LULUCF|SO2|Minor restricted activity days", US_national_yearly!$D:$AM, 11, FALSE) / VLOOKUP("LULUCF|SO2|Minor restricted activity days", US_national_yearly!$D:$AM, 10, FALSE), 1)</f>
        <v>0.14346274083700405</v>
      </c>
      <c r="D14" s="7">
        <f>$B14 * IFERROR(VLOOKUP("LULUCF|SO2|Minor restricted activity days", US_national_yearly!$D:$AM, 12, FALSE) / VLOOKUP("LULUCF|SO2|Minor restricted activity days", US_national_yearly!$D:$AM, 10, FALSE), 1)</f>
        <v>0.14382345336986163</v>
      </c>
      <c r="E14" s="7">
        <f>$B14 * IFERROR(VLOOKUP("LULUCF|SO2|Minor restricted activity days", US_national_yearly!$D:$AM, 13, FALSE) / VLOOKUP("LULUCF|SO2|Minor restricted activity days", US_national_yearly!$D:$AM, 10, FALSE), 1)</f>
        <v>0.14418416590271924</v>
      </c>
      <c r="F14" s="7">
        <f>$B14 * IFERROR(VLOOKUP("LULUCF|SO2|Minor restricted activity days", US_national_yearly!$D:$AM, 14, FALSE) / VLOOKUP("LULUCF|SO2|Minor restricted activity days", US_national_yearly!$D:$AM, 10, FALSE), 1)</f>
        <v>0.14454487843557678</v>
      </c>
      <c r="G14" s="7">
        <f>$B14 * IFERROR(VLOOKUP("LULUCF|SO2|Minor restricted activity days", US_national_yearly!$D:$AM, 15, FALSE) / VLOOKUP("LULUCF|SO2|Minor restricted activity days", US_national_yearly!$D:$AM, 10, FALSE), 1)</f>
        <v>0.14507581184734605</v>
      </c>
      <c r="H14" s="7">
        <f>$B14 * IFERROR(VLOOKUP("LULUCF|SO2|Minor restricted activity days", US_national_yearly!$D:$AM, 16, FALSE) / VLOOKUP("LULUCF|SO2|Minor restricted activity days", US_national_yearly!$D:$AM, 10, FALSE), 1)</f>
        <v>0.14560674525911532</v>
      </c>
      <c r="I14" s="7">
        <f>$B14 * IFERROR(VLOOKUP("LULUCF|SO2|Minor restricted activity days", US_national_yearly!$D:$AM, 17, FALSE) / VLOOKUP("LULUCF|SO2|Minor restricted activity days", US_national_yearly!$D:$AM, 10, FALSE), 1)</f>
        <v>0.14651220270409557</v>
      </c>
      <c r="J14" s="7">
        <f>$B14 * IFERROR(VLOOKUP("LULUCF|SO2|Minor restricted activity days", US_national_yearly!$D:$AM, 18, FALSE) / VLOOKUP("LULUCF|SO2|Minor restricted activity days", US_national_yearly!$D:$AM, 10, FALSE), 1)</f>
        <v>0.14741766014907579</v>
      </c>
      <c r="K14" s="7">
        <f>$B14 * IFERROR(VLOOKUP("LULUCF|SO2|Minor restricted activity days", US_national_yearly!$D:$AM, 19, FALSE) / VLOOKUP("LULUCF|SO2|Minor restricted activity days", US_national_yearly!$D:$AM, 10, FALSE), 1)</f>
        <v>0.14832311759405606</v>
      </c>
      <c r="L14" s="7">
        <f>$B14 * IFERROR(VLOOKUP("LULUCF|SO2|Minor restricted activity days", US_national_yearly!$D:$AM, 20, FALSE) / VLOOKUP("LULUCF|SO2|Minor restricted activity days", US_national_yearly!$D:$AM, 10, FALSE), 1)</f>
        <v>0.1492285750390363</v>
      </c>
      <c r="M14" s="7">
        <f>$B14 * IFERROR(VLOOKUP("LULUCF|SO2|Minor restricted activity days", US_national_yearly!$D:$AM, 21, FALSE) / VLOOKUP("LULUCF|SO2|Minor restricted activity days", US_national_yearly!$D:$AM, 10, FALSE), 1)</f>
        <v>0.15013403248401652</v>
      </c>
      <c r="N14" s="7">
        <f>$B14 * IFERROR(VLOOKUP("LULUCF|SO2|Minor restricted activity days", US_national_yearly!$D:$AM, 22, FALSE) / VLOOKUP("LULUCF|SO2|Minor restricted activity days", US_national_yearly!$D:$AM, 10, FALSE), 1)</f>
        <v>0.15137255297997287</v>
      </c>
      <c r="O14" s="7">
        <f>$B14 * IFERROR(VLOOKUP("LULUCF|SO2|Minor restricted activity days", US_national_yearly!$D:$AM, 23, FALSE) / VLOOKUP("LULUCF|SO2|Minor restricted activity days", US_national_yearly!$D:$AM, 10, FALSE), 1)</f>
        <v>0.15261107347592925</v>
      </c>
      <c r="P14" s="7">
        <f>$B14 * IFERROR(VLOOKUP("LULUCF|SO2|Minor restricted activity days", US_national_yearly!$D:$AM, 24, FALSE) / VLOOKUP("LULUCF|SO2|Minor restricted activity days", US_national_yearly!$D:$AM, 10, FALSE), 1)</f>
        <v>0.15384959397188561</v>
      </c>
      <c r="Q14" s="7">
        <f>$B14 * IFERROR(VLOOKUP("LULUCF|SO2|Minor restricted activity days", US_national_yearly!$D:$AM, 25, FALSE) / VLOOKUP("LULUCF|SO2|Minor restricted activity days", US_national_yearly!$D:$AM, 10, FALSE), 1)</f>
        <v>0.15508811446784196</v>
      </c>
      <c r="R14" s="7">
        <f>$B14 * IFERROR(VLOOKUP("LULUCF|SO2|Minor restricted activity days", US_national_yearly!$D:$AM, 26, FALSE) / VLOOKUP("LULUCF|SO2|Minor restricted activity days", US_national_yearly!$D:$AM, 10, FALSE), 1)</f>
        <v>0.15632663496379831</v>
      </c>
      <c r="S14" s="7">
        <f>$B14 * IFERROR(VLOOKUP("LULUCF|SO2|Minor restricted activity days", US_national_yearly!$D:$AM, 27, FALSE) / VLOOKUP("LULUCF|SO2|Minor restricted activity days", US_national_yearly!$D:$AM, 10, FALSE), 1)</f>
        <v>0.1575894278282878</v>
      </c>
      <c r="T14" s="7">
        <f>$B14 * IFERROR(VLOOKUP("LULUCF|SO2|Minor restricted activity days", US_national_yearly!$D:$AM, 28, FALSE) / VLOOKUP("LULUCF|SO2|Minor restricted activity days", US_national_yearly!$D:$AM, 10, FALSE), 1)</f>
        <v>0.1588522206927773</v>
      </c>
      <c r="U14" s="7">
        <f>$B14 * IFERROR(VLOOKUP("LULUCF|SO2|Minor restricted activity days", US_national_yearly!$D:$AM, 29, FALSE) / VLOOKUP("LULUCF|SO2|Minor restricted activity days", US_national_yearly!$D:$AM, 10, FALSE), 1)</f>
        <v>0.16011501355726679</v>
      </c>
      <c r="V14" s="7">
        <f>$B14 * IFERROR(VLOOKUP("LULUCF|SO2|Minor restricted activity days", US_national_yearly!$D:$AM, 30, FALSE) / VLOOKUP("LULUCF|SO2|Minor restricted activity days", US_national_yearly!$D:$AM, 10, FALSE), 1)</f>
        <v>0.16137780642175628</v>
      </c>
      <c r="W14" s="7">
        <f>$B14 * IFERROR(VLOOKUP("LULUCF|SO2|Minor restricted activity days", US_national_yearly!$D:$AM, 31, FALSE) / VLOOKUP("LULUCF|SO2|Minor restricted activity days", US_national_yearly!$D:$AM, 10, FALSE), 1)</f>
        <v>0.1626405992862458</v>
      </c>
      <c r="X14" s="7">
        <f>$B14 * IFERROR(VLOOKUP("LULUCF|SO2|Minor restricted activity days", US_national_yearly!$D:$AM, 32, FALSE) / VLOOKUP("LULUCF|SO2|Minor restricted activity days", US_national_yearly!$D:$AM, 10, FALSE), 1)</f>
        <v>0.16375112498009556</v>
      </c>
      <c r="Y14" s="7">
        <f>$B14 * IFERROR(VLOOKUP("LULUCF|SO2|Minor restricted activity days", US_national_yearly!$D:$AM, 33, FALSE) / VLOOKUP("LULUCF|SO2|Minor restricted activity days", US_national_yearly!$D:$AM, 10, FALSE), 1)</f>
        <v>0.16486165067394531</v>
      </c>
      <c r="Z14" s="7">
        <f>$B14 * IFERROR(VLOOKUP("LULUCF|SO2|Minor restricted activity days", US_national_yearly!$D:$AM, 34, FALSE) / VLOOKUP("LULUCF|SO2|Minor restricted activity days", US_national_yearly!$D:$AM, 10, FALSE), 1)</f>
        <v>0.16597217636779513</v>
      </c>
      <c r="AA14" s="7">
        <f>$B14 * IFERROR(VLOOKUP("LULUCF|SO2|Minor restricted activity days", US_national_yearly!$D:$AM, 35, FALSE) / VLOOKUP("LULUCF|SO2|Minor restricted activity days", US_national_yearly!$D:$AM, 10, FALSE), 1)</f>
        <v>0.16708270206164488</v>
      </c>
      <c r="AB14" s="7">
        <f>$B14 * IFERROR(VLOOKUP("LULUCF|SO2|Minor restricted activity days", US_national_yearly!$D:$AM, 36, FALSE) / VLOOKUP("LULUCF|SO2|Minor restricted activity days", US_national_yearly!$D:$AM, 10, FALSE), 1)</f>
        <v>0.16819322775549467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2.4277018214100953E-2</v>
      </c>
      <c r="C15" s="7">
        <f>$B15 * IFERROR(VLOOKUP("LULUCF|SO2|Work loss days", US_national_yearly!$D:$AM, 11, FALSE) / VLOOKUP("LULUCF|SO2|Work loss days", US_national_yearly!$D:$AM, 10, FALSE), 1)</f>
        <v>2.4355671894623895E-2</v>
      </c>
      <c r="D15" s="7">
        <f>$B15 * IFERROR(VLOOKUP("LULUCF|SO2|Work loss days", US_national_yearly!$D:$AM, 12, FALSE) / VLOOKUP("LULUCF|SO2|Work loss days", US_national_yearly!$D:$AM, 10, FALSE), 1)</f>
        <v>2.443432557514684E-2</v>
      </c>
      <c r="E15" s="7">
        <f>$B15 * IFERROR(VLOOKUP("LULUCF|SO2|Work loss days", US_national_yearly!$D:$AM, 13, FALSE) / VLOOKUP("LULUCF|SO2|Work loss days", US_national_yearly!$D:$AM, 10, FALSE), 1)</f>
        <v>2.4512979255669781E-2</v>
      </c>
      <c r="F15" s="7">
        <f>$B15 * IFERROR(VLOOKUP("LULUCF|SO2|Work loss days", US_national_yearly!$D:$AM, 14, FALSE) / VLOOKUP("LULUCF|SO2|Work loss days", US_national_yearly!$D:$AM, 10, FALSE), 1)</f>
        <v>2.4591632936192726E-2</v>
      </c>
      <c r="G15" s="7">
        <f>$B15 * IFERROR(VLOOKUP("LULUCF|SO2|Work loss days", US_national_yearly!$D:$AM, 15, FALSE) / VLOOKUP("LULUCF|SO2|Work loss days", US_national_yearly!$D:$AM, 10, FALSE), 1)</f>
        <v>2.4694403593688883E-2</v>
      </c>
      <c r="H15" s="7">
        <f>$B15 * IFERROR(VLOOKUP("LULUCF|SO2|Work loss days", US_national_yearly!$D:$AM, 16, FALSE) / VLOOKUP("LULUCF|SO2|Work loss days", US_national_yearly!$D:$AM, 10, FALSE), 1)</f>
        <v>2.4797174251185033E-2</v>
      </c>
      <c r="I15" s="7">
        <f>$B15 * IFERROR(VLOOKUP("LULUCF|SO2|Work loss days", US_national_yearly!$D:$AM, 17, FALSE) / VLOOKUP("LULUCF|SO2|Work loss days", US_national_yearly!$D:$AM, 10, FALSE), 1)</f>
        <v>2.4947513927136438E-2</v>
      </c>
      <c r="J15" s="7">
        <f>$B15 * IFERROR(VLOOKUP("LULUCF|SO2|Work loss days", US_national_yearly!$D:$AM, 18, FALSE) / VLOOKUP("LULUCF|SO2|Work loss days", US_national_yearly!$D:$AM, 10, FALSE), 1)</f>
        <v>2.509785360308784E-2</v>
      </c>
      <c r="K15" s="7">
        <f>$B15 * IFERROR(VLOOKUP("LULUCF|SO2|Work loss days", US_national_yearly!$D:$AM, 19, FALSE) / VLOOKUP("LULUCF|SO2|Work loss days", US_national_yearly!$D:$AM, 10, FALSE), 1)</f>
        <v>2.5248193279039245E-2</v>
      </c>
      <c r="L15" s="7">
        <f>$B15 * IFERROR(VLOOKUP("LULUCF|SO2|Work loss days", US_national_yearly!$D:$AM, 20, FALSE) / VLOOKUP("LULUCF|SO2|Work loss days", US_national_yearly!$D:$AM, 10, FALSE), 1)</f>
        <v>2.5398532954990651E-2</v>
      </c>
      <c r="M15" s="7">
        <f>$B15 * IFERROR(VLOOKUP("LULUCF|SO2|Work loss days", US_national_yearly!$D:$AM, 21, FALSE) / VLOOKUP("LULUCF|SO2|Work loss days", US_national_yearly!$D:$AM, 10, FALSE), 1)</f>
        <v>2.5548872630942056E-2</v>
      </c>
      <c r="N15" s="7">
        <f>$B15 * IFERROR(VLOOKUP("LULUCF|SO2|Work loss days", US_national_yearly!$D:$AM, 22, FALSE) / VLOOKUP("LULUCF|SO2|Work loss days", US_national_yearly!$D:$AM, 10, FALSE), 1)</f>
        <v>2.5737374221953713E-2</v>
      </c>
      <c r="O15" s="7">
        <f>$B15 * IFERROR(VLOOKUP("LULUCF|SO2|Work loss days", US_national_yearly!$D:$AM, 23, FALSE) / VLOOKUP("LULUCF|SO2|Work loss days", US_national_yearly!$D:$AM, 10, FALSE), 1)</f>
        <v>2.592587581296537E-2</v>
      </c>
      <c r="P15" s="7">
        <f>$B15 * IFERROR(VLOOKUP("LULUCF|SO2|Work loss days", US_national_yearly!$D:$AM, 24, FALSE) / VLOOKUP("LULUCF|SO2|Work loss days", US_national_yearly!$D:$AM, 10, FALSE), 1)</f>
        <v>2.611437740397702E-2</v>
      </c>
      <c r="Q15" s="7">
        <f>$B15 * IFERROR(VLOOKUP("LULUCF|SO2|Work loss days", US_national_yearly!$D:$AM, 25, FALSE) / VLOOKUP("LULUCF|SO2|Work loss days", US_national_yearly!$D:$AM, 10, FALSE), 1)</f>
        <v>2.6302878994988673E-2</v>
      </c>
      <c r="R15" s="7">
        <f>$B15 * IFERROR(VLOOKUP("LULUCF|SO2|Work loss days", US_national_yearly!$D:$AM, 26, FALSE) / VLOOKUP("LULUCF|SO2|Work loss days", US_national_yearly!$D:$AM, 10, FALSE), 1)</f>
        <v>2.649138058600033E-2</v>
      </c>
      <c r="S15" s="7">
        <f>$B15 * IFERROR(VLOOKUP("LULUCF|SO2|Work loss days", US_national_yearly!$D:$AM, 27, FALSE) / VLOOKUP("LULUCF|SO2|Work loss days", US_national_yearly!$D:$AM, 10, FALSE), 1)</f>
        <v>2.6702030492474046E-2</v>
      </c>
      <c r="T15" s="7">
        <f>$B15 * IFERROR(VLOOKUP("LULUCF|SO2|Work loss days", US_national_yearly!$D:$AM, 28, FALSE) / VLOOKUP("LULUCF|SO2|Work loss days", US_national_yearly!$D:$AM, 10, FALSE), 1)</f>
        <v>2.6912680398947769E-2</v>
      </c>
      <c r="U15" s="7">
        <f>$B15 * IFERROR(VLOOKUP("LULUCF|SO2|Work loss days", US_national_yearly!$D:$AM, 29, FALSE) / VLOOKUP("LULUCF|SO2|Work loss days", US_national_yearly!$D:$AM, 10, FALSE), 1)</f>
        <v>2.7123330305421484E-2</v>
      </c>
      <c r="V15" s="7">
        <f>$B15 * IFERROR(VLOOKUP("LULUCF|SO2|Work loss days", US_national_yearly!$D:$AM, 30, FALSE) / VLOOKUP("LULUCF|SO2|Work loss days", US_national_yearly!$D:$AM, 10, FALSE), 1)</f>
        <v>2.73339802118952E-2</v>
      </c>
      <c r="W15" s="7">
        <f>$B15 * IFERROR(VLOOKUP("LULUCF|SO2|Work loss days", US_national_yearly!$D:$AM, 31, FALSE) / VLOOKUP("LULUCF|SO2|Work loss days", US_national_yearly!$D:$AM, 10, FALSE), 1)</f>
        <v>2.7544630118368923E-2</v>
      </c>
      <c r="X15" s="7">
        <f>$B15 * IFERROR(VLOOKUP("LULUCF|SO2|Work loss days", US_national_yearly!$D:$AM, 32, FALSE) / VLOOKUP("LULUCF|SO2|Work loss days", US_national_yearly!$D:$AM, 10, FALSE), 1)</f>
        <v>2.7733764699112182E-2</v>
      </c>
      <c r="Y15" s="7">
        <f>$B15 * IFERROR(VLOOKUP("LULUCF|SO2|Work loss days", US_national_yearly!$D:$AM, 33, FALSE) / VLOOKUP("LULUCF|SO2|Work loss days", US_national_yearly!$D:$AM, 10, FALSE), 1)</f>
        <v>2.7922899279855445E-2</v>
      </c>
      <c r="Z15" s="7">
        <f>$B15 * IFERROR(VLOOKUP("LULUCF|SO2|Work loss days", US_national_yearly!$D:$AM, 34, FALSE) / VLOOKUP("LULUCF|SO2|Work loss days", US_national_yearly!$D:$AM, 10, FALSE), 1)</f>
        <v>2.8112033860598712E-2</v>
      </c>
      <c r="AA15" s="7">
        <f>$B15 * IFERROR(VLOOKUP("LULUCF|SO2|Work loss days", US_national_yearly!$D:$AM, 35, FALSE) / VLOOKUP("LULUCF|SO2|Work loss days", US_national_yearly!$D:$AM, 10, FALSE), 1)</f>
        <v>2.8301168441341978E-2</v>
      </c>
      <c r="AB15" s="7">
        <f>$B15 * IFERROR(VLOOKUP("LULUCF|SO2|Work loss days", US_national_yearly!$D:$AM, 36, FALSE) / VLOOKUP("LULUCF|SO2|Work loss days", US_national_yearly!$D:$AM, 10, FALSE), 1)</f>
        <v>2.8490303022085241E-2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3.4280828313829551E-5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3.5317611837790041E-5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3.6354395361750525E-5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3.7391178885711015E-5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3.8427962409671511E-5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3.9421102442921517E-5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4.041424247617153E-5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4.1265169675081174E-5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4.2116096873990818E-5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4.2967024072900463E-5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4.3817951271810107E-5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4.4668878470719744E-5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4.5240507715874795E-5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4.581213696102984E-5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4.6383766206184884E-5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4.6955395451339928E-5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4.7527024696494972E-5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4.782766097940626E-5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4.8128297262317542E-5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4.842893354522883E-5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4.8729569828140111E-5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4.9030206111051393E-5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4.9232033186045958E-5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4.9433860261040523E-5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4.9635687336035088E-5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4.9837514411029653E-5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5.0039341486024211E-5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2026-06-15T17:15:47Z</dcterms:modified>
</cp:coreProperties>
</file>