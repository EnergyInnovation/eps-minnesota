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MN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155</v>
      </c>
      <c r="C4" t="inlineStr">
        <is>
          <t>Agralite Electric Coop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MN</t>
        </is>
      </c>
      <c r="H4" t="inlineStr">
        <is>
          <t>Cooperative</t>
        </is>
      </c>
      <c r="I4" t="inlineStr">
        <is>
          <t>MISO</t>
        </is>
      </c>
      <c r="J4" t="n">
        <v>9568</v>
      </c>
      <c r="K4" t="n">
        <v>68617</v>
      </c>
      <c r="L4" t="n">
        <v>4333</v>
      </c>
      <c r="M4" t="n">
        <v>6218</v>
      </c>
      <c r="N4" t="n">
        <v>68440</v>
      </c>
      <c r="O4" t="n">
        <v>436</v>
      </c>
      <c r="P4" t="n">
        <v>9562</v>
      </c>
      <c r="Q4" t="n">
        <v>105823</v>
      </c>
      <c r="R4" t="n">
        <v>628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25348</v>
      </c>
      <c r="W4" t="n">
        <v>242880</v>
      </c>
      <c r="X4" t="n">
        <v>5397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295</v>
      </c>
      <c r="C5" t="inlineStr">
        <is>
          <t>City of Alexandria - (MN)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MN</t>
        </is>
      </c>
      <c r="H5" t="inlineStr">
        <is>
          <t>Municipal</t>
        </is>
      </c>
      <c r="I5" t="inlineStr">
        <is>
          <t>MISO</t>
        </is>
      </c>
      <c r="J5" t="n">
        <v>8900.4</v>
      </c>
      <c r="K5" t="n">
        <v>76955</v>
      </c>
      <c r="L5" t="n">
        <v>8758</v>
      </c>
      <c r="M5" t="n">
        <v>3893.7</v>
      </c>
      <c r="N5" t="n">
        <v>32821</v>
      </c>
      <c r="O5" t="n">
        <v>1706</v>
      </c>
      <c r="P5" t="n">
        <v>15171</v>
      </c>
      <c r="Q5" t="n">
        <v>168628</v>
      </c>
      <c r="R5" t="n">
        <v>228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27965.1</v>
      </c>
      <c r="W5" t="n">
        <v>278404</v>
      </c>
      <c r="X5" t="n">
        <v>10692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689</v>
      </c>
      <c r="C6" t="inlineStr">
        <is>
          <t>Connexus Energy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MN</t>
        </is>
      </c>
      <c r="H6" t="inlineStr">
        <is>
          <t>Cooperative</t>
        </is>
      </c>
      <c r="I6" t="inlineStr">
        <is>
          <t>MISO</t>
        </is>
      </c>
      <c r="J6" t="n">
        <v>169726.7</v>
      </c>
      <c r="K6" t="n">
        <v>1242625</v>
      </c>
      <c r="L6" t="n">
        <v>134095</v>
      </c>
      <c r="M6" t="n">
        <v>66237.3</v>
      </c>
      <c r="N6" t="n">
        <v>624680</v>
      </c>
      <c r="O6" t="n">
        <v>12112</v>
      </c>
      <c r="P6" t="n">
        <v>14463.1</v>
      </c>
      <c r="Q6" t="n">
        <v>183925</v>
      </c>
      <c r="R6" t="n">
        <v>433</v>
      </c>
      <c r="S6" t="n">
        <v>0</v>
      </c>
      <c r="T6" t="n">
        <v>0</v>
      </c>
      <c r="U6" t="n">
        <v>0</v>
      </c>
      <c r="V6" t="n">
        <v>250427.1</v>
      </c>
      <c r="W6" t="n">
        <v>2051230</v>
      </c>
      <c r="X6" t="n">
        <v>146640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691</v>
      </c>
      <c r="C7" t="inlineStr">
        <is>
          <t>City of Anoka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MN</t>
        </is>
      </c>
      <c r="H7" t="inlineStr">
        <is>
          <t>Municipal</t>
        </is>
      </c>
      <c r="I7" t="inlineStr">
        <is>
          <t>MISO</t>
        </is>
      </c>
      <c r="J7" t="n">
        <v>12100</v>
      </c>
      <c r="K7" t="n">
        <v>76211</v>
      </c>
      <c r="L7" t="n">
        <v>11646</v>
      </c>
      <c r="M7" t="n">
        <v>9534</v>
      </c>
      <c r="N7" t="n">
        <v>80286</v>
      </c>
      <c r="O7" t="n">
        <v>1336</v>
      </c>
      <c r="P7" t="n">
        <v>12314</v>
      </c>
      <c r="Q7" t="n">
        <v>101516</v>
      </c>
      <c r="R7" t="n">
        <v>22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33948</v>
      </c>
      <c r="W7" t="n">
        <v>258013</v>
      </c>
      <c r="X7" t="n">
        <v>13004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1009</v>
      </c>
      <c r="C8" t="inlineStr">
        <is>
          <t>City of Austin - (MN)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MN</t>
        </is>
      </c>
      <c r="H8" t="inlineStr">
        <is>
          <t>Municipal</t>
        </is>
      </c>
      <c r="I8" t="inlineStr">
        <is>
          <t>MISO</t>
        </is>
      </c>
      <c r="J8" t="n">
        <v>11901</v>
      </c>
      <c r="K8" t="n">
        <v>77564</v>
      </c>
      <c r="L8" t="n">
        <v>10795</v>
      </c>
      <c r="M8" t="n">
        <v>16109</v>
      </c>
      <c r="N8" t="n">
        <v>131027</v>
      </c>
      <c r="O8" t="n">
        <v>1214</v>
      </c>
      <c r="P8" t="n">
        <v>11605</v>
      </c>
      <c r="Q8" t="n">
        <v>123984</v>
      </c>
      <c r="R8" t="n">
        <v>1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39615</v>
      </c>
      <c r="W8" t="n">
        <v>332575</v>
      </c>
      <c r="X8" t="n">
        <v>12010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1529</v>
      </c>
      <c r="C9" t="inlineStr">
        <is>
          <t>Beltrami Electric Coop, Inc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MN</t>
        </is>
      </c>
      <c r="H9" t="inlineStr">
        <is>
          <t>Cooperative</t>
        </is>
      </c>
      <c r="I9" t="inlineStr">
        <is>
          <t>MISO</t>
        </is>
      </c>
      <c r="J9" t="n">
        <v>39669</v>
      </c>
      <c r="K9" t="n">
        <v>275547</v>
      </c>
      <c r="L9" t="n">
        <v>20732</v>
      </c>
      <c r="M9" t="n">
        <v>12338</v>
      </c>
      <c r="N9" t="n">
        <v>147717</v>
      </c>
      <c r="O9" t="n">
        <v>1615</v>
      </c>
      <c r="P9" t="n">
        <v>19</v>
      </c>
      <c r="Q9" t="n">
        <v>70</v>
      </c>
      <c r="R9" t="n">
        <v>17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52026</v>
      </c>
      <c r="W9" t="n">
        <v>423334</v>
      </c>
      <c r="X9" t="n">
        <v>22364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1884</v>
      </c>
      <c r="C10" t="inlineStr">
        <is>
          <t>BENCO Electric Cooperative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MN</t>
        </is>
      </c>
      <c r="H10" t="inlineStr">
        <is>
          <t>Cooperative</t>
        </is>
      </c>
      <c r="I10" t="inlineStr">
        <is>
          <t>MISO</t>
        </is>
      </c>
      <c r="J10" t="n">
        <v>31200</v>
      </c>
      <c r="K10" t="n">
        <v>207600</v>
      </c>
      <c r="L10" t="n">
        <v>18361</v>
      </c>
      <c r="M10" t="n">
        <v>11563</v>
      </c>
      <c r="N10" t="n">
        <v>90700</v>
      </c>
      <c r="O10" t="n">
        <v>1556</v>
      </c>
      <c r="P10" t="n">
        <v>7500</v>
      </c>
      <c r="Q10" t="n">
        <v>79159</v>
      </c>
      <c r="R10" t="n">
        <v>17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50263</v>
      </c>
      <c r="W10" t="n">
        <v>377459</v>
      </c>
      <c r="X10" t="n">
        <v>19934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2138</v>
      </c>
      <c r="C11" t="inlineStr">
        <is>
          <t>Brainerd Public Utilities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MN</t>
        </is>
      </c>
      <c r="H11" t="inlineStr">
        <is>
          <t>Municipal</t>
        </is>
      </c>
      <c r="I11" t="inlineStr">
        <is>
          <t>MISO</t>
        </is>
      </c>
      <c r="J11" t="n">
        <v>6342.9</v>
      </c>
      <c r="K11" t="n">
        <v>52218</v>
      </c>
      <c r="L11" t="n">
        <v>6956</v>
      </c>
      <c r="M11" t="n">
        <v>21007.2</v>
      </c>
      <c r="N11" t="n">
        <v>278324</v>
      </c>
      <c r="O11" t="n">
        <v>1349</v>
      </c>
      <c r="P11" t="n">
        <v>0</v>
      </c>
      <c r="Q11" t="n">
        <v>0</v>
      </c>
      <c r="R11" t="n">
        <v>0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27350.1</v>
      </c>
      <c r="W11" t="n">
        <v>330542</v>
      </c>
      <c r="X11" t="n">
        <v>8305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3400</v>
      </c>
      <c r="C12" t="inlineStr">
        <is>
          <t>City of Chaska - (MN)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MN</t>
        </is>
      </c>
      <c r="H12" t="inlineStr">
        <is>
          <t>Municipal</t>
        </is>
      </c>
      <c r="I12" t="inlineStr">
        <is>
          <t>MISO</t>
        </is>
      </c>
      <c r="J12" t="n">
        <v>13849.6</v>
      </c>
      <c r="K12" t="n">
        <v>85049</v>
      </c>
      <c r="L12" t="n">
        <v>10954</v>
      </c>
      <c r="M12" t="n">
        <v>27099.1</v>
      </c>
      <c r="N12" t="n">
        <v>210864</v>
      </c>
      <c r="O12" t="n">
        <v>1045</v>
      </c>
      <c r="P12" t="n">
        <v>16147.9</v>
      </c>
      <c r="Q12" t="n">
        <v>124897</v>
      </c>
      <c r="R12" t="n">
        <v>109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57096.6</v>
      </c>
      <c r="W12" t="n">
        <v>420810</v>
      </c>
      <c r="X12" t="n">
        <v>12108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4577</v>
      </c>
      <c r="C13" t="inlineStr">
        <is>
          <t>Crow Wing Cooperative Power &amp; Light Comp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MN</t>
        </is>
      </c>
      <c r="H13" t="inlineStr">
        <is>
          <t>Cooperative</t>
        </is>
      </c>
      <c r="I13" t="inlineStr">
        <is>
          <t>MISO</t>
        </is>
      </c>
      <c r="J13" t="n">
        <v>57820.2</v>
      </c>
      <c r="K13" t="n">
        <v>433747</v>
      </c>
      <c r="L13" t="n">
        <v>44698</v>
      </c>
      <c r="M13" t="n">
        <v>16377.9</v>
      </c>
      <c r="N13" t="n">
        <v>142396</v>
      </c>
      <c r="O13" t="n">
        <v>2935</v>
      </c>
      <c r="P13" t="n">
        <v>10786.2</v>
      </c>
      <c r="Q13" t="n">
        <v>108624</v>
      </c>
      <c r="R13" t="n">
        <v>226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84984.3</v>
      </c>
      <c r="W13" t="n">
        <v>684767</v>
      </c>
      <c r="X13" t="n">
        <v>47859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5574</v>
      </c>
      <c r="C14" t="inlineStr">
        <is>
          <t>East Central Energy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MN</t>
        </is>
      </c>
      <c r="H14" t="inlineStr">
        <is>
          <t>Cooperative</t>
        </is>
      </c>
      <c r="I14" t="inlineStr">
        <is>
          <t>MISO</t>
        </is>
      </c>
      <c r="J14" t="n">
        <v>91815</v>
      </c>
      <c r="K14" t="n">
        <v>543737</v>
      </c>
      <c r="L14" t="n">
        <v>55250</v>
      </c>
      <c r="M14" t="n">
        <v>32480.6</v>
      </c>
      <c r="N14" t="n">
        <v>262442</v>
      </c>
      <c r="O14" t="n">
        <v>6589</v>
      </c>
      <c r="P14" t="n">
        <v>9302.5</v>
      </c>
      <c r="Q14" t="n">
        <v>111872</v>
      </c>
      <c r="R14" t="n">
        <v>184</v>
      </c>
      <c r="S14" t="n">
        <v>0</v>
      </c>
      <c r="T14" t="n">
        <v>0</v>
      </c>
      <c r="U14" t="n">
        <v>0</v>
      </c>
      <c r="V14" t="n">
        <v>133598.1</v>
      </c>
      <c r="W14" t="n">
        <v>918051</v>
      </c>
      <c r="X14" t="n">
        <v>62023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5773</v>
      </c>
      <c r="C15" t="inlineStr">
        <is>
          <t>City of Elk River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MN</t>
        </is>
      </c>
      <c r="H15" t="inlineStr">
        <is>
          <t>Municipal</t>
        </is>
      </c>
      <c r="I15" t="inlineStr">
        <is>
          <t>MISO</t>
        </is>
      </c>
      <c r="J15" t="n">
        <v>16337</v>
      </c>
      <c r="K15" t="n">
        <v>103231</v>
      </c>
      <c r="L15" t="n">
        <v>11776</v>
      </c>
      <c r="M15" t="n">
        <v>4485</v>
      </c>
      <c r="N15" t="n">
        <v>29416</v>
      </c>
      <c r="O15" t="n">
        <v>1460</v>
      </c>
      <c r="P15" t="n">
        <v>21712</v>
      </c>
      <c r="Q15" t="n">
        <v>184109</v>
      </c>
      <c r="R15" t="n">
        <v>230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42534</v>
      </c>
      <c r="W15" t="n">
        <v>316756</v>
      </c>
      <c r="X15" t="n">
        <v>13466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6258</v>
      </c>
      <c r="C16" t="inlineStr">
        <is>
          <t>Federated Rural Electric Assn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MN</t>
        </is>
      </c>
      <c r="H16" t="inlineStr">
        <is>
          <t>Cooperative</t>
        </is>
      </c>
      <c r="I16" t="inlineStr">
        <is>
          <t>MISO</t>
        </is>
      </c>
      <c r="J16" t="n">
        <v>9725</v>
      </c>
      <c r="K16" t="n">
        <v>83557</v>
      </c>
      <c r="L16" t="n">
        <v>5727</v>
      </c>
      <c r="M16" t="n">
        <v>7841</v>
      </c>
      <c r="N16" t="n">
        <v>71286</v>
      </c>
      <c r="O16" t="n">
        <v>1255</v>
      </c>
      <c r="P16" t="n">
        <v>20625</v>
      </c>
      <c r="Q16" t="n">
        <v>274396</v>
      </c>
      <c r="R16" t="n">
        <v>4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38191</v>
      </c>
      <c r="W16" t="n">
        <v>429239</v>
      </c>
      <c r="X16" t="n">
        <v>6986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6782</v>
      </c>
      <c r="C17" t="inlineStr">
        <is>
          <t>Freeborn Mower Electric Cooperative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MN</t>
        </is>
      </c>
      <c r="H17" t="inlineStr">
        <is>
          <t>Cooperative</t>
        </is>
      </c>
      <c r="I17" t="inlineStr">
        <is>
          <t>MISO</t>
        </is>
      </c>
      <c r="J17" t="n">
        <v>27510</v>
      </c>
      <c r="K17" t="n">
        <v>181574</v>
      </c>
      <c r="L17" t="n">
        <v>17842</v>
      </c>
      <c r="M17" t="n">
        <v>16565</v>
      </c>
      <c r="N17" t="n">
        <v>136554</v>
      </c>
      <c r="O17" t="n">
        <v>3383</v>
      </c>
      <c r="P17" t="n">
        <v>14015</v>
      </c>
      <c r="Q17" t="n">
        <v>161038</v>
      </c>
      <c r="R17" t="n">
        <v>33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58090</v>
      </c>
      <c r="W17" t="n">
        <v>479166</v>
      </c>
      <c r="X17" t="n">
        <v>21258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7292</v>
      </c>
      <c r="C18" t="inlineStr">
        <is>
          <t>Glencoe Light &amp; Power Comm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MN</t>
        </is>
      </c>
      <c r="H18" t="inlineStr">
        <is>
          <t>Municipal</t>
        </is>
      </c>
      <c r="I18" t="inlineStr">
        <is>
          <t>MISO</t>
        </is>
      </c>
      <c r="J18" t="n">
        <v>2344</v>
      </c>
      <c r="K18" t="n">
        <v>20983</v>
      </c>
      <c r="L18" t="n">
        <v>2585</v>
      </c>
      <c r="M18" t="n">
        <v>7119.9</v>
      </c>
      <c r="N18" t="n">
        <v>169714</v>
      </c>
      <c r="O18" t="n">
        <v>385</v>
      </c>
      <c r="P18" t="n">
        <v>2791.2</v>
      </c>
      <c r="Q18" t="n">
        <v>27476</v>
      </c>
      <c r="R18" t="n">
        <v>4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12255.1</v>
      </c>
      <c r="W18" t="n">
        <v>218173</v>
      </c>
      <c r="X18" t="n">
        <v>2974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8319</v>
      </c>
      <c r="C19" t="inlineStr">
        <is>
          <t>Heartland Power Coop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MN</t>
        </is>
      </c>
      <c r="H19" t="inlineStr">
        <is>
          <t>Cooperative</t>
        </is>
      </c>
      <c r="I19" t="inlineStr">
        <is>
          <t>MISO</t>
        </is>
      </c>
      <c r="J19" t="n">
        <v>117</v>
      </c>
      <c r="K19" t="n">
        <v>964</v>
      </c>
      <c r="L19" t="n">
        <v>38</v>
      </c>
      <c r="M19" t="inlineStr">
        <is>
          <t>.</t>
        </is>
      </c>
      <c r="N19" t="inlineStr">
        <is>
          <t>.</t>
        </is>
      </c>
      <c r="O19" t="inlineStr">
        <is>
          <t>.</t>
        </is>
      </c>
      <c r="P19" t="inlineStr">
        <is>
          <t>.</t>
        </is>
      </c>
      <c r="Q19" t="inlineStr">
        <is>
          <t>.</t>
        </is>
      </c>
      <c r="R19" t="inlineStr">
        <is>
          <t>.</t>
        </is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117</v>
      </c>
      <c r="W19" t="n">
        <v>964</v>
      </c>
      <c r="X19" t="n">
        <v>38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9130</v>
      </c>
      <c r="C20" t="inlineStr">
        <is>
          <t>Hutchinson Utilities Comm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MN</t>
        </is>
      </c>
      <c r="H20" t="inlineStr">
        <is>
          <t>Municipal</t>
        </is>
      </c>
      <c r="I20" t="inlineStr">
        <is>
          <t>MISO</t>
        </is>
      </c>
      <c r="J20" t="n">
        <v>6041</v>
      </c>
      <c r="K20" t="n">
        <v>54495</v>
      </c>
      <c r="L20" t="n">
        <v>6653</v>
      </c>
      <c r="M20" t="n">
        <v>9051</v>
      </c>
      <c r="N20" t="n">
        <v>95296</v>
      </c>
      <c r="O20" t="n">
        <v>1009</v>
      </c>
      <c r="P20" t="n">
        <v>8644</v>
      </c>
      <c r="Q20" t="n">
        <v>109141</v>
      </c>
      <c r="R20" t="n">
        <v>3</v>
      </c>
      <c r="S20" t="n">
        <v>0</v>
      </c>
      <c r="T20" t="n">
        <v>0</v>
      </c>
      <c r="U20" t="n">
        <v>0</v>
      </c>
      <c r="V20" t="n">
        <v>23736</v>
      </c>
      <c r="W20" t="n">
        <v>258932</v>
      </c>
      <c r="X20" t="n">
        <v>7665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9475</v>
      </c>
      <c r="C21" t="inlineStr">
        <is>
          <t>Itasca-Mantrap Co-op Electrical Assn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MN</t>
        </is>
      </c>
      <c r="H21" t="inlineStr">
        <is>
          <t>Cooperative</t>
        </is>
      </c>
      <c r="I21" t="inlineStr">
        <is>
          <t>MISO</t>
        </is>
      </c>
      <c r="J21" t="n">
        <v>16406.6</v>
      </c>
      <c r="K21" t="n">
        <v>122108</v>
      </c>
      <c r="L21" t="n">
        <v>11200</v>
      </c>
      <c r="M21" t="n">
        <v>2573.9</v>
      </c>
      <c r="N21" t="n">
        <v>20292</v>
      </c>
      <c r="O21" t="n">
        <v>1075</v>
      </c>
      <c r="P21" t="n">
        <v>12879.2</v>
      </c>
      <c r="Q21" t="n">
        <v>141366</v>
      </c>
      <c r="R21" t="n">
        <v>406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31859.7</v>
      </c>
      <c r="W21" t="n">
        <v>283766</v>
      </c>
      <c r="X21" t="n">
        <v>12681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10596</v>
      </c>
      <c r="C22" t="inlineStr">
        <is>
          <t>City of Lake Crystal - (MN)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MN</t>
        </is>
      </c>
      <c r="H22" t="inlineStr">
        <is>
          <t>Municipal</t>
        </is>
      </c>
      <c r="I22" t="inlineStr">
        <is>
          <t>MISO</t>
        </is>
      </c>
      <c r="J22" t="n">
        <v>1676</v>
      </c>
      <c r="K22" t="n">
        <v>7993</v>
      </c>
      <c r="L22" t="n">
        <v>1070</v>
      </c>
      <c r="M22" t="n">
        <v>1418.2</v>
      </c>
      <c r="N22" t="n">
        <v>7983</v>
      </c>
      <c r="O22" t="n">
        <v>179</v>
      </c>
      <c r="P22" t="inlineStr">
        <is>
          <t>.</t>
        </is>
      </c>
      <c r="Q22" t="inlineStr">
        <is>
          <t>.</t>
        </is>
      </c>
      <c r="R22" t="inlineStr">
        <is>
          <t>.</t>
        </is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3094.2</v>
      </c>
      <c r="W22" t="n">
        <v>15976</v>
      </c>
      <c r="X22" t="n">
        <v>1249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10618</v>
      </c>
      <c r="C23" t="inlineStr">
        <is>
          <t>Lake Region Electric Cooperative - (MN)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MN</t>
        </is>
      </c>
      <c r="H23" t="inlineStr">
        <is>
          <t>Cooperative</t>
        </is>
      </c>
      <c r="I23" t="inlineStr">
        <is>
          <t>MISO</t>
        </is>
      </c>
      <c r="J23" t="n">
        <v>43164.9</v>
      </c>
      <c r="K23" t="n">
        <v>325139</v>
      </c>
      <c r="L23" t="n">
        <v>27239</v>
      </c>
      <c r="M23" t="n">
        <v>12171.1</v>
      </c>
      <c r="N23" t="n">
        <v>116245</v>
      </c>
      <c r="O23" t="n">
        <v>2082</v>
      </c>
      <c r="P23" t="n">
        <v>1912.7</v>
      </c>
      <c r="Q23" t="n">
        <v>13372</v>
      </c>
      <c r="R23" t="n">
        <v>748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57248.7</v>
      </c>
      <c r="W23" t="n">
        <v>454756</v>
      </c>
      <c r="X23" t="n">
        <v>30069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10697</v>
      </c>
      <c r="C24" t="inlineStr">
        <is>
          <t>Lake Country Power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MN</t>
        </is>
      </c>
      <c r="H24" t="inlineStr">
        <is>
          <t>Cooperative</t>
        </is>
      </c>
      <c r="I24" t="inlineStr">
        <is>
          <t>MISO</t>
        </is>
      </c>
      <c r="J24" t="n">
        <v>84024.3</v>
      </c>
      <c r="K24" t="n">
        <v>469478</v>
      </c>
      <c r="L24" t="n">
        <v>47204</v>
      </c>
      <c r="M24" t="n">
        <v>17989.9</v>
      </c>
      <c r="N24" t="n">
        <v>117384</v>
      </c>
      <c r="O24" t="n">
        <v>4176</v>
      </c>
      <c r="P24" t="n">
        <v>8417.6</v>
      </c>
      <c r="Q24" t="n">
        <v>105722</v>
      </c>
      <c r="R24" t="n">
        <v>3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110431.8</v>
      </c>
      <c r="W24" t="n">
        <v>692584</v>
      </c>
      <c r="X24" t="n">
        <v>51383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11731</v>
      </c>
      <c r="C25" t="inlineStr">
        <is>
          <t>City of Marshall - (MN)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MN</t>
        </is>
      </c>
      <c r="H25" t="inlineStr">
        <is>
          <t>Municipal</t>
        </is>
      </c>
      <c r="I25" t="inlineStr">
        <is>
          <t>MISO</t>
        </is>
      </c>
      <c r="J25" t="n">
        <v>5773.5</v>
      </c>
      <c r="K25" t="n">
        <v>59549</v>
      </c>
      <c r="L25" t="n">
        <v>5857</v>
      </c>
      <c r="M25" t="n">
        <v>6871.7</v>
      </c>
      <c r="N25" t="n">
        <v>81855</v>
      </c>
      <c r="O25" t="n">
        <v>965</v>
      </c>
      <c r="P25" t="n">
        <v>23237.7</v>
      </c>
      <c r="Q25" t="n">
        <v>376076</v>
      </c>
      <c r="R25" t="n">
        <v>103</v>
      </c>
      <c r="S25" t="n">
        <v>0</v>
      </c>
      <c r="T25" t="n">
        <v>0</v>
      </c>
      <c r="U25" t="n">
        <v>0</v>
      </c>
      <c r="V25" t="n">
        <v>35882.9</v>
      </c>
      <c r="W25" t="n">
        <v>517480</v>
      </c>
      <c r="X25" t="n">
        <v>6925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12227</v>
      </c>
      <c r="C26" t="inlineStr">
        <is>
          <t>Meeker Coop Light &amp; Power Assn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MN</t>
        </is>
      </c>
      <c r="H26" t="inlineStr">
        <is>
          <t>Cooperative</t>
        </is>
      </c>
      <c r="I26" t="inlineStr">
        <is>
          <t>MISO</t>
        </is>
      </c>
      <c r="J26" t="n">
        <v>19357.7</v>
      </c>
      <c r="K26" t="n">
        <v>137382</v>
      </c>
      <c r="L26" t="n">
        <v>8572</v>
      </c>
      <c r="M26" t="n">
        <v>3559.1</v>
      </c>
      <c r="N26" t="n">
        <v>29543</v>
      </c>
      <c r="O26" t="n">
        <v>659</v>
      </c>
      <c r="P26" t="n">
        <v>2643.3</v>
      </c>
      <c r="Q26" t="n">
        <v>32052</v>
      </c>
      <c r="R26" t="n">
        <v>130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25560.1</v>
      </c>
      <c r="W26" t="n">
        <v>198977</v>
      </c>
      <c r="X26" t="n">
        <v>9361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12546</v>
      </c>
      <c r="C27" t="inlineStr">
        <is>
          <t>Mille Lacs Energy Cooperative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MN</t>
        </is>
      </c>
      <c r="H27" t="inlineStr">
        <is>
          <t>Cooperative</t>
        </is>
      </c>
      <c r="I27" t="inlineStr">
        <is>
          <t>MISO</t>
        </is>
      </c>
      <c r="J27" t="n">
        <v>21446.7</v>
      </c>
      <c r="K27" t="n">
        <v>121995</v>
      </c>
      <c r="L27" t="n">
        <v>14546</v>
      </c>
      <c r="M27" t="n">
        <v>4890.3</v>
      </c>
      <c r="N27" t="n">
        <v>37741</v>
      </c>
      <c r="O27" t="n">
        <v>1319</v>
      </c>
      <c r="P27" t="n">
        <v>4019</v>
      </c>
      <c r="Q27" t="n">
        <v>33606</v>
      </c>
      <c r="R27" t="n">
        <v>113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30356</v>
      </c>
      <c r="W27" t="n">
        <v>193342</v>
      </c>
      <c r="X27" t="n">
        <v>15978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12647</v>
      </c>
      <c r="C28" t="inlineStr">
        <is>
          <t>ALLETE, Inc.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MN</t>
        </is>
      </c>
      <c r="H28" t="inlineStr">
        <is>
          <t>Investor Owned</t>
        </is>
      </c>
      <c r="I28" t="inlineStr">
        <is>
          <t>MISO</t>
        </is>
      </c>
      <c r="J28" t="n">
        <v>154078.7</v>
      </c>
      <c r="K28" t="n">
        <v>983680</v>
      </c>
      <c r="L28" t="n">
        <v>125896</v>
      </c>
      <c r="M28" t="n">
        <v>174471.2</v>
      </c>
      <c r="N28" t="n">
        <v>1204294</v>
      </c>
      <c r="O28" t="n">
        <v>26027</v>
      </c>
      <c r="P28" t="n">
        <v>555452.3</v>
      </c>
      <c r="Q28" t="n">
        <v>6203291</v>
      </c>
      <c r="R28" t="n">
        <v>419</v>
      </c>
      <c r="S28" t="n">
        <v>0</v>
      </c>
      <c r="T28" t="n">
        <v>0</v>
      </c>
      <c r="U28" t="n">
        <v>0</v>
      </c>
      <c r="V28" t="n">
        <v>884002.2</v>
      </c>
      <c r="W28" t="n">
        <v>8391265</v>
      </c>
      <c r="X28" t="n">
        <v>152342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12651</v>
      </c>
      <c r="C29" t="inlineStr">
        <is>
          <t>Minnesota Valley Electric Coop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MN</t>
        </is>
      </c>
      <c r="H29" t="inlineStr">
        <is>
          <t>Cooperative</t>
        </is>
      </c>
      <c r="I29" t="inlineStr">
        <is>
          <t>MISO</t>
        </is>
      </c>
      <c r="J29" t="n">
        <v>69003</v>
      </c>
      <c r="K29" t="n">
        <v>493660</v>
      </c>
      <c r="L29" t="n">
        <v>43412</v>
      </c>
      <c r="M29" t="n">
        <v>38691</v>
      </c>
      <c r="N29" t="n">
        <v>367261</v>
      </c>
      <c r="O29" t="n">
        <v>4220</v>
      </c>
      <c r="P29" t="inlineStr">
        <is>
          <t>.</t>
        </is>
      </c>
      <c r="Q29" t="inlineStr">
        <is>
          <t>.</t>
        </is>
      </c>
      <c r="R29" t="inlineStr">
        <is>
          <t>.</t>
        </is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107694</v>
      </c>
      <c r="W29" t="n">
        <v>860921</v>
      </c>
      <c r="X29" t="n">
        <v>47632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12894</v>
      </c>
      <c r="C30" t="inlineStr">
        <is>
          <t>City of Moorhead - (MN)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MN</t>
        </is>
      </c>
      <c r="H30" t="inlineStr">
        <is>
          <t>Municipal</t>
        </is>
      </c>
      <c r="I30" t="inlineStr">
        <is>
          <t>SWPP</t>
        </is>
      </c>
      <c r="J30" t="n">
        <v>20247.8</v>
      </c>
      <c r="K30" t="n">
        <v>177935</v>
      </c>
      <c r="L30" t="n">
        <v>18180</v>
      </c>
      <c r="M30" t="n">
        <v>3726.3</v>
      </c>
      <c r="N30" t="n">
        <v>30796</v>
      </c>
      <c r="O30" t="n">
        <v>1856</v>
      </c>
      <c r="P30" t="n">
        <v>17386.8</v>
      </c>
      <c r="Q30" t="n">
        <v>199268</v>
      </c>
      <c r="R30" t="n">
        <v>368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41360.9</v>
      </c>
      <c r="W30" t="n">
        <v>407999</v>
      </c>
      <c r="X30" t="n">
        <v>20404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13781</v>
      </c>
      <c r="C31" t="inlineStr">
        <is>
          <t>Northern States Power Co - Minnesota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MN</t>
        </is>
      </c>
      <c r="H31" t="inlineStr">
        <is>
          <t>Investor Owned</t>
        </is>
      </c>
      <c r="I31" t="inlineStr">
        <is>
          <t>MISO</t>
        </is>
      </c>
      <c r="J31" t="n">
        <v>1473375.3</v>
      </c>
      <c r="K31" t="n">
        <v>8676639</v>
      </c>
      <c r="L31" t="n">
        <v>1230057</v>
      </c>
      <c r="M31" t="n">
        <v>1566594.5</v>
      </c>
      <c r="N31" t="n">
        <v>12191505</v>
      </c>
      <c r="O31" t="n">
        <v>144718</v>
      </c>
      <c r="P31" t="n">
        <v>666241.2</v>
      </c>
      <c r="Q31" t="n">
        <v>6838715</v>
      </c>
      <c r="R31" t="n">
        <v>480</v>
      </c>
      <c r="S31" t="n">
        <v>1948.5</v>
      </c>
      <c r="T31" t="n">
        <v>15332</v>
      </c>
      <c r="U31" t="n">
        <v>1</v>
      </c>
      <c r="V31" t="n">
        <v>3708159.5</v>
      </c>
      <c r="W31" t="n">
        <v>27722191</v>
      </c>
      <c r="X31" t="n">
        <v>1375256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13815</v>
      </c>
      <c r="C32" t="inlineStr">
        <is>
          <t>Northwestern Wisconsin Elec Co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MN</t>
        </is>
      </c>
      <c r="H32" t="inlineStr">
        <is>
          <t>Investor Owned</t>
        </is>
      </c>
      <c r="I32" t="inlineStr">
        <is>
          <t>MISO</t>
        </is>
      </c>
      <c r="J32" t="n">
        <v>67.5</v>
      </c>
      <c r="K32" t="n">
        <v>467</v>
      </c>
      <c r="L32" t="n">
        <v>88</v>
      </c>
      <c r="M32" t="n">
        <v>25.2</v>
      </c>
      <c r="N32" t="n">
        <v>167</v>
      </c>
      <c r="O32" t="n">
        <v>28</v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92.7</v>
      </c>
      <c r="W32" t="n">
        <v>634</v>
      </c>
      <c r="X32" t="n">
        <v>116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14232</v>
      </c>
      <c r="C33" t="inlineStr">
        <is>
          <t>Otter Tail Power Co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MN</t>
        </is>
      </c>
      <c r="H33" t="inlineStr">
        <is>
          <t>Investor Owned</t>
        </is>
      </c>
      <c r="I33" t="inlineStr">
        <is>
          <t>MISO</t>
        </is>
      </c>
      <c r="J33" t="n">
        <v>57431.9</v>
      </c>
      <c r="K33" t="n">
        <v>506692</v>
      </c>
      <c r="L33" t="n">
        <v>50118</v>
      </c>
      <c r="M33" t="n">
        <v>94469.2</v>
      </c>
      <c r="N33" t="n">
        <v>1014880</v>
      </c>
      <c r="O33" t="n">
        <v>13197</v>
      </c>
      <c r="P33" t="n">
        <v>65278.5</v>
      </c>
      <c r="Q33" t="n">
        <v>1209723</v>
      </c>
      <c r="R33" t="n">
        <v>11</v>
      </c>
      <c r="S33" t="n">
        <v>0</v>
      </c>
      <c r="T33" t="n">
        <v>0</v>
      </c>
      <c r="U33" t="n">
        <v>0</v>
      </c>
      <c r="V33" t="n">
        <v>217179.6</v>
      </c>
      <c r="W33" t="n">
        <v>2731295</v>
      </c>
      <c r="X33" t="n">
        <v>63326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14246</v>
      </c>
      <c r="C34" t="inlineStr">
        <is>
          <t>City of Owatonna - (MN)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MN</t>
        </is>
      </c>
      <c r="H34" t="inlineStr">
        <is>
          <t>Municipal</t>
        </is>
      </c>
      <c r="I34" t="inlineStr">
        <is>
          <t>MISO</t>
        </is>
      </c>
      <c r="J34" t="n">
        <v>13222.7</v>
      </c>
      <c r="K34" t="n">
        <v>86579</v>
      </c>
      <c r="L34" t="n">
        <v>11434</v>
      </c>
      <c r="M34" t="n">
        <v>7507.5</v>
      </c>
      <c r="N34" t="n">
        <v>58727</v>
      </c>
      <c r="O34" t="n">
        <v>990</v>
      </c>
      <c r="P34" t="n">
        <v>24581</v>
      </c>
      <c r="Q34" t="n">
        <v>236195</v>
      </c>
      <c r="R34" t="n">
        <v>65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45311.2</v>
      </c>
      <c r="W34" t="n">
        <v>381501</v>
      </c>
      <c r="X34" t="n">
        <v>12489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14468</v>
      </c>
      <c r="C35" t="inlineStr">
        <is>
          <t>People's Cooperative Services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MN</t>
        </is>
      </c>
      <c r="H35" t="inlineStr">
        <is>
          <t>Cooperative</t>
        </is>
      </c>
      <c r="I35" t="inlineStr">
        <is>
          <t>MISO</t>
        </is>
      </c>
      <c r="J35" t="n">
        <v>37899</v>
      </c>
      <c r="K35" t="n">
        <v>226998</v>
      </c>
      <c r="L35" t="n">
        <v>21665</v>
      </c>
      <c r="M35" t="n">
        <v>11081.9</v>
      </c>
      <c r="N35" t="n">
        <v>79521</v>
      </c>
      <c r="O35" t="n">
        <v>2203</v>
      </c>
      <c r="P35" t="n">
        <v>5700.6</v>
      </c>
      <c r="Q35" t="n">
        <v>52974</v>
      </c>
      <c r="R35" t="n">
        <v>48</v>
      </c>
      <c r="S35" t="n">
        <v>0</v>
      </c>
      <c r="T35" t="n">
        <v>0</v>
      </c>
      <c r="U35" t="n">
        <v>0</v>
      </c>
      <c r="V35" t="n">
        <v>54681.5</v>
      </c>
      <c r="W35" t="n">
        <v>359493</v>
      </c>
      <c r="X35" t="n">
        <v>23916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16181</v>
      </c>
      <c r="C36" t="inlineStr">
        <is>
          <t>Rochester Public Utilities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MN</t>
        </is>
      </c>
      <c r="H36" t="inlineStr">
        <is>
          <t>Municipal</t>
        </is>
      </c>
      <c r="I36" t="inlineStr">
        <is>
          <t>MISO</t>
        </is>
      </c>
      <c r="J36" t="n">
        <v>66161.60000000001</v>
      </c>
      <c r="K36" t="n">
        <v>369451</v>
      </c>
      <c r="L36" t="n">
        <v>54943</v>
      </c>
      <c r="M36" t="n">
        <v>91288.3</v>
      </c>
      <c r="N36" t="n">
        <v>673014</v>
      </c>
      <c r="O36" t="n">
        <v>5189</v>
      </c>
      <c r="P36" t="n">
        <v>11687.2</v>
      </c>
      <c r="Q36" t="n">
        <v>90802</v>
      </c>
      <c r="R36" t="n">
        <v>1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169137.1</v>
      </c>
      <c r="W36" t="n">
        <v>1133267</v>
      </c>
      <c r="X36" t="n">
        <v>60133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16368</v>
      </c>
      <c r="C37" t="inlineStr">
        <is>
          <t>Runestone Electric Assn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MN</t>
        </is>
      </c>
      <c r="H37" t="inlineStr">
        <is>
          <t>Cooperative</t>
        </is>
      </c>
      <c r="I37" t="inlineStr">
        <is>
          <t>MISO</t>
        </is>
      </c>
      <c r="J37" t="n">
        <v>27624</v>
      </c>
      <c r="K37" t="n">
        <v>192378</v>
      </c>
      <c r="L37" t="n">
        <v>14282</v>
      </c>
      <c r="M37" t="n">
        <v>2938</v>
      </c>
      <c r="N37" t="n">
        <v>22261</v>
      </c>
      <c r="O37" t="n">
        <v>818</v>
      </c>
      <c r="P37" t="n">
        <v>1558</v>
      </c>
      <c r="Q37" t="n">
        <v>14291</v>
      </c>
      <c r="R37" t="n">
        <v>291</v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32120</v>
      </c>
      <c r="W37" t="n">
        <v>228930</v>
      </c>
      <c r="X37" t="n">
        <v>15391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16971</v>
      </c>
      <c r="C38" t="inlineStr">
        <is>
          <t>Shakopee Public Utilities Comm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MN</t>
        </is>
      </c>
      <c r="H38" t="inlineStr">
        <is>
          <t>Municipal</t>
        </is>
      </c>
      <c r="I38" t="inlineStr">
        <is>
          <t>MISO</t>
        </is>
      </c>
      <c r="J38" t="n">
        <v>21575</v>
      </c>
      <c r="K38" t="n">
        <v>138811</v>
      </c>
      <c r="L38" t="n">
        <v>18517</v>
      </c>
      <c r="M38" t="n">
        <v>1852</v>
      </c>
      <c r="N38" t="n">
        <v>14028</v>
      </c>
      <c r="O38" t="n">
        <v>1428</v>
      </c>
      <c r="P38" t="n">
        <v>34037</v>
      </c>
      <c r="Q38" t="n">
        <v>273774</v>
      </c>
      <c r="R38" t="n">
        <v>584</v>
      </c>
      <c r="S38" t="n">
        <v>0</v>
      </c>
      <c r="T38" t="n">
        <v>0</v>
      </c>
      <c r="U38" t="n">
        <v>0</v>
      </c>
      <c r="V38" t="n">
        <v>57464</v>
      </c>
      <c r="W38" t="n">
        <v>426613</v>
      </c>
      <c r="X38" t="n">
        <v>20529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17267</v>
      </c>
      <c r="C39" t="inlineStr">
        <is>
          <t>Sioux Valley SW Elec Coop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MN</t>
        </is>
      </c>
      <c r="H39" t="inlineStr">
        <is>
          <t>Cooperative</t>
        </is>
      </c>
      <c r="I39" t="inlineStr">
        <is>
          <t>SWPP</t>
        </is>
      </c>
      <c r="J39" t="n">
        <v>10165.8</v>
      </c>
      <c r="K39" t="n">
        <v>80620</v>
      </c>
      <c r="L39" t="n">
        <v>3370</v>
      </c>
      <c r="M39" t="n">
        <v>1064.3</v>
      </c>
      <c r="N39" t="n">
        <v>6518</v>
      </c>
      <c r="O39" t="n">
        <v>405</v>
      </c>
      <c r="P39" t="n">
        <v>4778.8</v>
      </c>
      <c r="Q39" t="n">
        <v>48973</v>
      </c>
      <c r="R39" t="n">
        <v>122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16008.9</v>
      </c>
      <c r="W39" t="n">
        <v>136111</v>
      </c>
      <c r="X39" t="n">
        <v>3897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17550</v>
      </c>
      <c r="C40" t="inlineStr">
        <is>
          <t>South Central Electric Assn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MN</t>
        </is>
      </c>
      <c r="H40" t="inlineStr">
        <is>
          <t>Cooperative</t>
        </is>
      </c>
      <c r="I40" t="inlineStr">
        <is>
          <t>MISO</t>
        </is>
      </c>
      <c r="J40" t="n">
        <v>11375</v>
      </c>
      <c r="K40" t="n">
        <v>74853</v>
      </c>
      <c r="L40" t="n">
        <v>4665</v>
      </c>
      <c r="M40" t="n">
        <v>6926</v>
      </c>
      <c r="N40" t="n">
        <v>52156</v>
      </c>
      <c r="O40" t="n">
        <v>1266</v>
      </c>
      <c r="P40" t="n">
        <v>6626</v>
      </c>
      <c r="Q40" t="n">
        <v>100573</v>
      </c>
      <c r="R40" t="n">
        <v>13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24927</v>
      </c>
      <c r="W40" t="n">
        <v>227582</v>
      </c>
      <c r="X40" t="n">
        <v>5944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18019</v>
      </c>
      <c r="C41" t="inlineStr">
        <is>
          <t>Stearns Cooperative Elec Assn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MN</t>
        </is>
      </c>
      <c r="H41" t="inlineStr">
        <is>
          <t>Cooperative</t>
        </is>
      </c>
      <c r="I41" t="inlineStr">
        <is>
          <t>MISO</t>
        </is>
      </c>
      <c r="J41" t="n">
        <v>52381.8</v>
      </c>
      <c r="K41" t="n">
        <v>377521</v>
      </c>
      <c r="L41" t="n">
        <v>26138</v>
      </c>
      <c r="M41" t="n">
        <v>11251.9</v>
      </c>
      <c r="N41" t="n">
        <v>95867</v>
      </c>
      <c r="O41" t="n">
        <v>1803</v>
      </c>
      <c r="P41" t="n">
        <v>4983.9</v>
      </c>
      <c r="Q41" t="n">
        <v>50919</v>
      </c>
      <c r="R41" t="n">
        <v>617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68617.60000000001</v>
      </c>
      <c r="W41" t="n">
        <v>524307</v>
      </c>
      <c r="X41" t="n">
        <v>28558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18047</v>
      </c>
      <c r="C42" t="inlineStr">
        <is>
          <t>Steele-Waseca Cooperative Electric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MN</t>
        </is>
      </c>
      <c r="H42" t="inlineStr">
        <is>
          <t>Cooperative</t>
        </is>
      </c>
      <c r="I42" t="inlineStr">
        <is>
          <t>MISO</t>
        </is>
      </c>
      <c r="J42" t="n">
        <v>18893.9</v>
      </c>
      <c r="K42" t="n">
        <v>120886</v>
      </c>
      <c r="L42" t="n">
        <v>10725</v>
      </c>
      <c r="M42" t="n">
        <v>9237.9</v>
      </c>
      <c r="N42" t="n">
        <v>68578</v>
      </c>
      <c r="O42" t="n">
        <v>1274</v>
      </c>
      <c r="P42" t="n">
        <v>15331.9</v>
      </c>
      <c r="Q42" t="n">
        <v>160761</v>
      </c>
      <c r="R42" t="n">
        <v>47</v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43463.7</v>
      </c>
      <c r="W42" t="n">
        <v>350225</v>
      </c>
      <c r="X42" t="n">
        <v>12046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19157</v>
      </c>
      <c r="C43" t="inlineStr">
        <is>
          <t>MiEnergy Cooperative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MN</t>
        </is>
      </c>
      <c r="H43" t="inlineStr">
        <is>
          <t>Cooperative</t>
        </is>
      </c>
      <c r="I43" t="inlineStr">
        <is>
          <t>MISO</t>
        </is>
      </c>
      <c r="J43" t="n">
        <v>28174</v>
      </c>
      <c r="K43" t="n">
        <v>170128</v>
      </c>
      <c r="L43" t="n">
        <v>15224</v>
      </c>
      <c r="M43" t="n">
        <v>8763.799999999999</v>
      </c>
      <c r="N43" t="n">
        <v>72224</v>
      </c>
      <c r="O43" t="n">
        <v>1068</v>
      </c>
      <c r="P43" t="n">
        <v>5430.2</v>
      </c>
      <c r="Q43" t="n">
        <v>69687</v>
      </c>
      <c r="R43" t="n">
        <v>15</v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42368</v>
      </c>
      <c r="W43" t="n">
        <v>312039</v>
      </c>
      <c r="X43" t="n">
        <v>16307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20639</v>
      </c>
      <c r="C44" t="inlineStr">
        <is>
          <t>Wild Rice Electric Coop, Inc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MN</t>
        </is>
      </c>
      <c r="H44" t="inlineStr">
        <is>
          <t>Cooperative</t>
        </is>
      </c>
      <c r="I44" t="inlineStr">
        <is>
          <t>MISO</t>
        </is>
      </c>
      <c r="J44" t="n">
        <v>28119</v>
      </c>
      <c r="K44" t="n">
        <v>196012</v>
      </c>
      <c r="L44" t="n">
        <v>13948</v>
      </c>
      <c r="M44" t="n">
        <v>6036.6</v>
      </c>
      <c r="N44" t="n">
        <v>52376</v>
      </c>
      <c r="O44" t="n">
        <v>849</v>
      </c>
      <c r="P44" t="n">
        <v>987.7</v>
      </c>
      <c r="Q44" t="n">
        <v>10833</v>
      </c>
      <c r="R44" t="n">
        <v>4</v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n">
        <v>35143.3</v>
      </c>
      <c r="W44" t="n">
        <v>259221</v>
      </c>
      <c r="X44" t="n">
        <v>14801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20737</v>
      </c>
      <c r="C45" t="inlineStr">
        <is>
          <t>Willmar Municipal Utilities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MN</t>
        </is>
      </c>
      <c r="H45" t="inlineStr">
        <is>
          <t>Municipal</t>
        </is>
      </c>
      <c r="I45" t="inlineStr">
        <is>
          <t>MISO</t>
        </is>
      </c>
      <c r="J45" t="n">
        <v>8341</v>
      </c>
      <c r="K45" t="n">
        <v>68300</v>
      </c>
      <c r="L45" t="n">
        <v>8662</v>
      </c>
      <c r="M45" t="n">
        <v>11309</v>
      </c>
      <c r="N45" t="n">
        <v>102569</v>
      </c>
      <c r="O45" t="n">
        <v>1492</v>
      </c>
      <c r="P45" t="n">
        <v>8620</v>
      </c>
      <c r="Q45" t="n">
        <v>94111</v>
      </c>
      <c r="R45" t="n">
        <v>17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28270</v>
      </c>
      <c r="W45" t="n">
        <v>264980</v>
      </c>
      <c r="X45" t="n">
        <v>10171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20996</v>
      </c>
      <c r="C46" t="inlineStr">
        <is>
          <t>Wright-Hennepin Coop Elec Assn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MN</t>
        </is>
      </c>
      <c r="H46" t="inlineStr">
        <is>
          <t>Cooperative</t>
        </is>
      </c>
      <c r="I46" t="inlineStr">
        <is>
          <t>MISO</t>
        </is>
      </c>
      <c r="J46" t="n">
        <v>84339.7</v>
      </c>
      <c r="K46" t="n">
        <v>578061</v>
      </c>
      <c r="L46" t="n">
        <v>53714</v>
      </c>
      <c r="M46" t="n">
        <v>31457.8</v>
      </c>
      <c r="N46" t="n">
        <v>272150</v>
      </c>
      <c r="O46" t="n">
        <v>2455</v>
      </c>
      <c r="P46" t="n">
        <v>4828.1</v>
      </c>
      <c r="Q46" t="n">
        <v>47318</v>
      </c>
      <c r="R46" t="n">
        <v>110</v>
      </c>
      <c r="S46" t="n">
        <v>0</v>
      </c>
      <c r="T46" t="n">
        <v>0</v>
      </c>
      <c r="U46" t="n">
        <v>0</v>
      </c>
      <c r="V46" t="n">
        <v>120625.6</v>
      </c>
      <c r="W46" t="n">
        <v>897529</v>
      </c>
      <c r="X46" t="n">
        <v>56279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21013</v>
      </c>
      <c r="C47" t="inlineStr">
        <is>
          <t>City of Worthington - (MN)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MN</t>
        </is>
      </c>
      <c r="H47" t="inlineStr">
        <is>
          <t>Municipal</t>
        </is>
      </c>
      <c r="I47" t="inlineStr">
        <is>
          <t>MISO</t>
        </is>
      </c>
      <c r="J47" t="n">
        <v>4230.2</v>
      </c>
      <c r="K47" t="n">
        <v>35013</v>
      </c>
      <c r="L47" t="n">
        <v>4662</v>
      </c>
      <c r="M47" t="n">
        <v>8401</v>
      </c>
      <c r="N47" t="n">
        <v>84335</v>
      </c>
      <c r="O47" t="n">
        <v>878</v>
      </c>
      <c r="P47" t="n">
        <v>8579.6</v>
      </c>
      <c r="Q47" t="n">
        <v>110098</v>
      </c>
      <c r="R47" t="n">
        <v>1</v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21210.8</v>
      </c>
      <c r="W47" t="n">
        <v>229446</v>
      </c>
      <c r="X47" t="n">
        <v>5541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25177</v>
      </c>
      <c r="C48" t="inlineStr">
        <is>
          <t>Dakota Electric Association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MN</t>
        </is>
      </c>
      <c r="H48" t="inlineStr">
        <is>
          <t>Cooperative</t>
        </is>
      </c>
      <c r="I48" t="inlineStr">
        <is>
          <t>MISO</t>
        </is>
      </c>
      <c r="J48" t="n">
        <v>130042</v>
      </c>
      <c r="K48" t="n">
        <v>929091</v>
      </c>
      <c r="L48" t="n">
        <v>108097</v>
      </c>
      <c r="M48" t="n">
        <v>87149</v>
      </c>
      <c r="N48" t="n">
        <v>886201</v>
      </c>
      <c r="O48" t="n">
        <v>8313</v>
      </c>
      <c r="P48" t="n">
        <v>911</v>
      </c>
      <c r="Q48" t="n">
        <v>5853</v>
      </c>
      <c r="R48" t="n">
        <v>404</v>
      </c>
      <c r="S48" t="inlineStr">
        <is>
          <t>.</t>
        </is>
      </c>
      <c r="T48" t="inlineStr">
        <is>
          <t>.</t>
        </is>
      </c>
      <c r="U48" t="inlineStr">
        <is>
          <t>.</t>
        </is>
      </c>
      <c r="V48" t="n">
        <v>218102</v>
      </c>
      <c r="W48" t="n">
        <v>1821145</v>
      </c>
      <c r="X48" t="n">
        <v>116814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27000</v>
      </c>
      <c r="C49" t="inlineStr">
        <is>
          <t>WAPA-- Western Area Power Administration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MN</t>
        </is>
      </c>
      <c r="H49" t="inlineStr">
        <is>
          <t>Federal</t>
        </is>
      </c>
      <c r="I49" t="inlineStr">
        <is>
          <t>SWPP</t>
        </is>
      </c>
      <c r="J49" t="n">
        <v>0</v>
      </c>
      <c r="K49" t="n">
        <v>0</v>
      </c>
      <c r="L49" t="n">
        <v>0</v>
      </c>
      <c r="M49" t="n">
        <v>1461.3</v>
      </c>
      <c r="N49" t="n">
        <v>53422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1461.3</v>
      </c>
      <c r="W49" t="n">
        <v>53422</v>
      </c>
      <c r="X49" t="n">
        <v>4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40304</v>
      </c>
      <c r="C50" t="inlineStr">
        <is>
          <t>Minnesota Valley Coop L&amp;P Assn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MN</t>
        </is>
      </c>
      <c r="H50" t="inlineStr">
        <is>
          <t>Cooperative</t>
        </is>
      </c>
      <c r="I50" t="inlineStr">
        <is>
          <t>MISO</t>
        </is>
      </c>
      <c r="J50" t="n">
        <v>14738.4</v>
      </c>
      <c r="K50" t="n">
        <v>120612</v>
      </c>
      <c r="L50" t="n">
        <v>4931</v>
      </c>
      <c r="M50" t="n">
        <v>2229.8</v>
      </c>
      <c r="N50" t="n">
        <v>18418</v>
      </c>
      <c r="O50" t="n">
        <v>338</v>
      </c>
      <c r="P50" t="n">
        <v>6461.8</v>
      </c>
      <c r="Q50" t="n">
        <v>79080</v>
      </c>
      <c r="R50" t="n">
        <v>41</v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23430</v>
      </c>
      <c r="W50" t="n">
        <v>218110</v>
      </c>
      <c r="X50" t="n">
        <v>5310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59579</v>
      </c>
      <c r="C51" t="inlineStr">
        <is>
          <t>Sunnova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MN</t>
        </is>
      </c>
      <c r="H51" t="inlineStr">
        <is>
          <t>Behind the Meter</t>
        </is>
      </c>
      <c r="I51" t="inlineStr">
        <is>
          <t>MISO</t>
        </is>
      </c>
      <c r="J51" t="n">
        <v>0</v>
      </c>
      <c r="K51" t="n">
        <v>0</v>
      </c>
      <c r="L51" t="n">
        <v>0</v>
      </c>
      <c r="M51" t="inlineStr">
        <is>
          <t>.</t>
        </is>
      </c>
      <c r="N51" t="inlineStr">
        <is>
          <t>.</t>
        </is>
      </c>
      <c r="O51" t="inlineStr">
        <is>
          <t>.</t>
        </is>
      </c>
      <c r="P51" t="inlineStr">
        <is>
          <t>.</t>
        </is>
      </c>
      <c r="Q51" t="inlineStr">
        <is>
          <t>.</t>
        </is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0</v>
      </c>
      <c r="W51" t="n">
        <v>0</v>
      </c>
      <c r="X51" t="n">
        <v>0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99999</v>
      </c>
      <c r="C52" t="inlineStr">
        <is>
          <t>Adjustment 2024</t>
        </is>
      </c>
      <c r="D52" t="inlineStr">
        <is>
          <t>A</t>
        </is>
      </c>
      <c r="E52" t="inlineStr">
        <is>
          <t>Bundled</t>
        </is>
      </c>
      <c r="F52" t="inlineStr">
        <is>
          <t>I</t>
        </is>
      </c>
      <c r="G52" t="inlineStr">
        <is>
          <t>MN</t>
        </is>
      </c>
      <c r="H52" t="inlineStr"/>
      <c r="I52" t="inlineStr">
        <is>
          <t>MISO</t>
        </is>
      </c>
      <c r="J52" t="n">
        <v>353057.9</v>
      </c>
      <c r="K52" t="n">
        <v>2488482</v>
      </c>
      <c r="L52" t="n">
        <v>243873</v>
      </c>
      <c r="M52" t="n">
        <v>226455.8</v>
      </c>
      <c r="N52" t="n">
        <v>1990416</v>
      </c>
      <c r="O52" t="n">
        <v>36988</v>
      </c>
      <c r="P52" t="n">
        <v>150357.8</v>
      </c>
      <c r="Q52" t="n">
        <v>1506860</v>
      </c>
      <c r="R52" t="n">
        <v>2087</v>
      </c>
      <c r="S52" t="n">
        <v>0</v>
      </c>
      <c r="T52" t="n">
        <v>0</v>
      </c>
      <c r="U52" t="n">
        <v>0</v>
      </c>
      <c r="V52" t="n">
        <v>729871.5</v>
      </c>
      <c r="W52" t="n">
        <v>5985758</v>
      </c>
      <c r="X52" t="n">
        <v>282948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99999</v>
      </c>
      <c r="C53" t="inlineStr">
        <is>
          <t>Adjustment 2024</t>
        </is>
      </c>
      <c r="D53" t="inlineStr">
        <is>
          <t>A</t>
        </is>
      </c>
      <c r="E53" t="inlineStr">
        <is>
          <t>Bundled</t>
        </is>
      </c>
      <c r="F53" t="inlineStr">
        <is>
          <t>I</t>
        </is>
      </c>
      <c r="G53" t="inlineStr">
        <is>
          <t>MN</t>
        </is>
      </c>
      <c r="H53" t="inlineStr"/>
      <c r="I53" t="inlineStr">
        <is>
          <t>SWPP</t>
        </is>
      </c>
      <c r="J53" t="n">
        <v>17593.3</v>
      </c>
      <c r="K53" t="n">
        <v>141571</v>
      </c>
      <c r="L53" t="n">
        <v>7692</v>
      </c>
      <c r="M53" t="n">
        <v>7524.3</v>
      </c>
      <c r="N53" t="n">
        <v>73747</v>
      </c>
      <c r="O53" t="n">
        <v>813</v>
      </c>
      <c r="P53" t="n">
        <v>3617</v>
      </c>
      <c r="Q53" t="n">
        <v>44630</v>
      </c>
      <c r="R53" t="n">
        <v>23</v>
      </c>
      <c r="S53" t="n">
        <v>0</v>
      </c>
      <c r="T53" t="n">
        <v>0</v>
      </c>
      <c r="U53" t="n">
        <v>0</v>
      </c>
      <c r="V53" t="n">
        <v>28734.6</v>
      </c>
      <c r="W53" t="n">
        <v>259948</v>
      </c>
      <c r="X53" t="n">
        <v>8528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MN</t>
        </is>
      </c>
      <c r="B2">
        <f>SUMIFS('EIA-861 Sales 2024'!$Y$4:$Y$53,'EIA-861 Sales 2024'!$Z$4:$Z$53,"cost_service")</f>
        <v/>
      </c>
      <c r="C2">
        <f>SUMIFS('EIA-861 Sales 2024'!$Y$4:$Y$53,'EIA-861 Sales 2024'!$Z$4:$Z$53,"procurement")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