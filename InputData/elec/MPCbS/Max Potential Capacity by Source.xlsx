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elec\MPCbS\"/>
    </mc:Choice>
  </mc:AlternateContent>
  <xr:revisionPtr revIDLastSave="0" documentId="8_{6F13286F-7C5D-42DF-A5AE-44A7CC1B2258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<sst xmlns="http://schemas.openxmlformats.org/spreadsheetml/2006/main" count="1067" uniqueCount="282">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</sst>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99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MN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MN</v>
      </c>
      <c r="B1" s="32">
        <f>SUMIFS(E3:E52,A3:A52,A1)</f>
        <v>6542000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MN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MN</v>
      </c>
      <c r="B1" s="32">
        <f>SUMIFS(C4:C53,A4:A53,A1)</f>
        <v>29000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Minnesota</v>
      </c>
      <c r="B1" s="32" t="str">
        <f>LOOKUP(A1,M4:N53,N4:N53)</f>
        <v>MN</v>
      </c>
      <c r="C1" s="32">
        <f>SUMIFS(L5:L52,A5:A52,B1)</f>
        <v>182825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MN</v>
      </c>
      <c r="B1" s="32">
        <f>SUMIFS(D4:D53,A4:A53,A1)</f>
        <v>3488.4213959556428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MN</v>
      </c>
      <c r="B1" s="32">
        <f>SUMIFS(C3:C52,A3:A52,A1)</f>
        <v>47000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MN</v>
      </c>
      <c r="B1" s="32">
        <f>SUMIFS(D5:D54,A5:A54,A1)</f>
        <v>286.52968036529683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286.52968036529683</v>
      </c>
    </row>
    <row r="7" spans="1:2" x14ac:dyDescent="0.25">
      <c r="A7" t="s">
        <v>55</v>
      </c>
      <c r="B7">
        <f>'onshore wind'!C1</f>
        <v>182825</v>
      </c>
    </row>
    <row r="8" spans="1:2" x14ac:dyDescent="0.25">
      <c r="A8" t="s">
        <v>33</v>
      </c>
      <c r="B8">
        <f>'solar PV'!B1</f>
        <v>6542000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3488.4213959556428</v>
      </c>
    </row>
    <row r="11" spans="1:2" x14ac:dyDescent="0.25">
      <c r="A11" t="s">
        <v>39</v>
      </c>
      <c r="B11">
        <f>geothermal!B1</f>
        <v>47000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29000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137.26839150782178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3488.4213959556428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2024-01-10T23:20:58Z</dcterms:modified>
</cp:coreProperties>
</file>